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Rahul Chavan\Desktop\"/>
    </mc:Choice>
  </mc:AlternateContent>
  <xr:revisionPtr revIDLastSave="0" documentId="13_ncr:1_{EB43F7E7-5320-4D77-B8B1-A550DE8DBBE0}" xr6:coauthVersionLast="47" xr6:coauthVersionMax="47" xr10:uidLastSave="{00000000-0000-0000-0000-000000000000}"/>
  <bookViews>
    <workbookView xWindow="-108" yWindow="-108" windowWidth="23256" windowHeight="12456" activeTab="2" xr2:uid="{6624E436-E7CB-403D-932E-F5A91BCD8244}"/>
  </bookViews>
  <sheets>
    <sheet name="HR DATA" sheetId="1" r:id="rId1"/>
    <sheet name="DASHBOARD" sheetId="3" r:id="rId2"/>
    <sheet name="SUMMARY" sheetId="2" r:id="rId3"/>
  </sheets>
  <definedNames>
    <definedName name="_xlnm._FilterDatabase" localSheetId="0" hidden="1">'HR DATA'!$A$1:$I$1</definedName>
    <definedName name="Slicer_DEPARTMENT">#N/A</definedName>
    <definedName name="Slicer_SALA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I5" i="3"/>
  <c r="G5" i="3"/>
  <c r="E5" i="3"/>
</calcChain>
</file>

<file path=xl/sharedStrings.xml><?xml version="1.0" encoding="utf-8"?>
<sst xmlns="http://schemas.openxmlformats.org/spreadsheetml/2006/main" count="562" uniqueCount="179">
  <si>
    <t>EMP_ID</t>
  </si>
  <si>
    <t>NAME</t>
  </si>
  <si>
    <t>DEPARTMENT</t>
  </si>
  <si>
    <t>DESIGNATION</t>
  </si>
  <si>
    <t>SALARY</t>
  </si>
  <si>
    <t>CITY</t>
  </si>
  <si>
    <t>JOIN_DATE</t>
  </si>
  <si>
    <t>EXPERIENCE</t>
  </si>
  <si>
    <t>GENDER</t>
  </si>
  <si>
    <t>Rahul</t>
  </si>
  <si>
    <t>IT</t>
  </si>
  <si>
    <t>Developer</t>
  </si>
  <si>
    <t>Mumbai</t>
  </si>
  <si>
    <t>Male</t>
  </si>
  <si>
    <t>Sneha</t>
  </si>
  <si>
    <t>HR</t>
  </si>
  <si>
    <t>Recruiter</t>
  </si>
  <si>
    <t>Pune</t>
  </si>
  <si>
    <t>Female</t>
  </si>
  <si>
    <t>Amit</t>
  </si>
  <si>
    <t>Senior Developer</t>
  </si>
  <si>
    <t>Bangalore</t>
  </si>
  <si>
    <t>Priya</t>
  </si>
  <si>
    <t>Finance</t>
  </si>
  <si>
    <t>Accountant</t>
  </si>
  <si>
    <t>Delhi</t>
  </si>
  <si>
    <t>Rohit</t>
  </si>
  <si>
    <t>Sales</t>
  </si>
  <si>
    <t>Sales Executive</t>
  </si>
  <si>
    <t>Neha</t>
  </si>
  <si>
    <t>HR Manager</t>
  </si>
  <si>
    <t>Arjun</t>
  </si>
  <si>
    <t>Team Lead</t>
  </si>
  <si>
    <t>Hyderabad</t>
  </si>
  <si>
    <t>Kavita</t>
  </si>
  <si>
    <t>Analyst</t>
  </si>
  <si>
    <t>Suresh</t>
  </si>
  <si>
    <t>Manager</t>
  </si>
  <si>
    <t>Chennai</t>
  </si>
  <si>
    <t>Pooja</t>
  </si>
  <si>
    <t>Tester</t>
  </si>
  <si>
    <t>Karan</t>
  </si>
  <si>
    <t>Senior Analyst</t>
  </si>
  <si>
    <t>Meena</t>
  </si>
  <si>
    <t>Executive</t>
  </si>
  <si>
    <t>Vijay</t>
  </si>
  <si>
    <t>Anjali</t>
  </si>
  <si>
    <t>Deepak</t>
  </si>
  <si>
    <t>Ramesh</t>
  </si>
  <si>
    <t>Support Engineer</t>
  </si>
  <si>
    <t>Komal</t>
  </si>
  <si>
    <t>Coordinator</t>
  </si>
  <si>
    <t>Nitin</t>
  </si>
  <si>
    <t>Seema</t>
  </si>
  <si>
    <t>Architect</t>
  </si>
  <si>
    <t>Varun</t>
  </si>
  <si>
    <t>Ritika</t>
  </si>
  <si>
    <t>Manish</t>
  </si>
  <si>
    <t>Alok</t>
  </si>
  <si>
    <t>Shweta</t>
  </si>
  <si>
    <t>Tarun</t>
  </si>
  <si>
    <t>DevOps Engineer</t>
  </si>
  <si>
    <t>Nisha</t>
  </si>
  <si>
    <t>HR Executive</t>
  </si>
  <si>
    <t>Gaurav</t>
  </si>
  <si>
    <t>Payal</t>
  </si>
  <si>
    <t>Akash</t>
  </si>
  <si>
    <t>Divya</t>
  </si>
  <si>
    <t>Ayesha</t>
  </si>
  <si>
    <t>Data Analyst</t>
  </si>
  <si>
    <t>Ravi</t>
  </si>
  <si>
    <t>Sunil</t>
  </si>
  <si>
    <t>Pallavi</t>
  </si>
  <si>
    <t>Harsh</t>
  </si>
  <si>
    <t>Kiran</t>
  </si>
  <si>
    <t>Neelam</t>
  </si>
  <si>
    <t>Yogesh</t>
  </si>
  <si>
    <t>Tanvi</t>
  </si>
  <si>
    <t>Sameer</t>
  </si>
  <si>
    <t>Pankaj</t>
  </si>
  <si>
    <t>Rekha</t>
  </si>
  <si>
    <t>Mohit</t>
  </si>
  <si>
    <t>Isha</t>
  </si>
  <si>
    <t>Naveen</t>
  </si>
  <si>
    <t>Ritu</t>
  </si>
  <si>
    <t>Vikas</t>
  </si>
  <si>
    <t>Sonal</t>
  </si>
  <si>
    <t>Ajay</t>
  </si>
  <si>
    <t>Deepa</t>
  </si>
  <si>
    <t>Rohan</t>
  </si>
  <si>
    <t>Simran</t>
  </si>
  <si>
    <t>Kunal</t>
  </si>
  <si>
    <t>Mehul</t>
  </si>
  <si>
    <t>Nikita</t>
  </si>
  <si>
    <t>Data Scientist</t>
  </si>
  <si>
    <t>Sanjay</t>
  </si>
  <si>
    <t>Alisha</t>
  </si>
  <si>
    <t>Girish</t>
  </si>
  <si>
    <t>Ankit</t>
  </si>
  <si>
    <t>Preeti</t>
  </si>
  <si>
    <t>Aman</t>
  </si>
  <si>
    <t>Backend Developer</t>
  </si>
  <si>
    <t>Rachna</t>
  </si>
  <si>
    <t>Vivek</t>
  </si>
  <si>
    <t>Keshav</t>
  </si>
  <si>
    <t>Frontend Developer</t>
  </si>
  <si>
    <t>Sangeeta</t>
  </si>
  <si>
    <t>Nilesh</t>
  </si>
  <si>
    <t>Tina</t>
  </si>
  <si>
    <t>Abhishek</t>
  </si>
  <si>
    <t>Data Engineer</t>
  </si>
  <si>
    <t>Bhavna</t>
  </si>
  <si>
    <t>Kapil</t>
  </si>
  <si>
    <t>Juhi</t>
  </si>
  <si>
    <t>Dinesh</t>
  </si>
  <si>
    <t>System Admin</t>
  </si>
  <si>
    <t>Shilpa</t>
  </si>
  <si>
    <t>Rajat</t>
  </si>
  <si>
    <t>Monika</t>
  </si>
  <si>
    <t>Arvind</t>
  </si>
  <si>
    <t>Swati</t>
  </si>
  <si>
    <t>Lokesh</t>
  </si>
  <si>
    <t>Neetu</t>
  </si>
  <si>
    <t>Varsha</t>
  </si>
  <si>
    <t>Prakash</t>
  </si>
  <si>
    <t>Ritesh</t>
  </si>
  <si>
    <t>Anu</t>
  </si>
  <si>
    <t>Gopal</t>
  </si>
  <si>
    <t>Suman</t>
  </si>
  <si>
    <t>Imran</t>
  </si>
  <si>
    <t>Kritika</t>
  </si>
  <si>
    <t>Ashok</t>
  </si>
  <si>
    <t>Reena</t>
  </si>
  <si>
    <t>Manoj</t>
  </si>
  <si>
    <t>Ruchi</t>
  </si>
  <si>
    <t>Dev</t>
  </si>
  <si>
    <t>Kajal</t>
  </si>
  <si>
    <t>Siddharth</t>
  </si>
  <si>
    <t>Priti</t>
  </si>
  <si>
    <t>Geeta</t>
  </si>
  <si>
    <t>Akshay</t>
  </si>
  <si>
    <t>Total_Employee</t>
  </si>
  <si>
    <t>Average_Salary</t>
  </si>
  <si>
    <t>Highest_Salary</t>
  </si>
  <si>
    <t>Row Labels</t>
  </si>
  <si>
    <t>Grand Total</t>
  </si>
  <si>
    <t>Sum of SALARY</t>
  </si>
  <si>
    <t>Count of EMP_ID</t>
  </si>
  <si>
    <t>Department - wise Employee Count</t>
  </si>
  <si>
    <t>Department -wise Total Salary</t>
  </si>
  <si>
    <t>Gender-wise Employee Distribution</t>
  </si>
  <si>
    <t>The company has a total of 100 employees.</t>
  </si>
  <si>
    <t>HR and Finance departments have 24 employees each.</t>
  </si>
  <si>
    <t>IT department has the highest number of employees (29).</t>
  </si>
  <si>
    <t>Sales department has the lowest number of employees (23).</t>
  </si>
  <si>
    <t>IT department has the highest total salary expense.</t>
  </si>
  <si>
    <t>HR department has the lowest total salary expense.</t>
  </si>
  <si>
    <t>Total salary expense is ₹59,21,000.</t>
  </si>
  <si>
    <t>Male employees: 53 (53%)</t>
  </si>
  <si>
    <t>Female employees: 47 (47%)</t>
  </si>
  <si>
    <t>IT department plays a major role in workforce.</t>
  </si>
  <si>
    <t>Salary distribution varies across departments.</t>
  </si>
  <si>
    <t xml:space="preserve"> Key Insights</t>
  </si>
  <si>
    <t xml:space="preserve"> Total Employees</t>
  </si>
  <si>
    <t xml:space="preserve"> Department-wise Analysis</t>
  </si>
  <si>
    <t xml:space="preserve"> Salary Analysis</t>
  </si>
  <si>
    <t xml:space="preserve"> Gender Distribution</t>
  </si>
  <si>
    <t>HR Data Analysis Summary</t>
  </si>
  <si>
    <t>1)</t>
  </si>
  <si>
    <t>2)</t>
  </si>
  <si>
    <t>3)</t>
  </si>
  <si>
    <t>4)</t>
  </si>
  <si>
    <t>5)</t>
  </si>
  <si>
    <t>HR Data Analysis Dashboard</t>
  </si>
  <si>
    <t>Min_Salary</t>
  </si>
  <si>
    <t>The workforce shows a slight male dominance (53% male, 47% female).</t>
  </si>
  <si>
    <t>6)</t>
  </si>
  <si>
    <t>Experience Insight</t>
  </si>
  <si>
    <t>Most employees have 3–6 years of experience, indicating a mid-level workforce.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</si>
</sst>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8"/>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left"/>
    </xf>
    <xf numFmtId="0" fontId="0" fillId="0" borderId="1" xfId="0" applyBorder="1"/>
    <xf numFmtId="3" fontId="1" fillId="0" borderId="1" xfId="0" applyNumberFormat="1" applyFont="1" applyBorder="1" applyAlignment="1">
      <alignment horizontal="center" vertical="center"/>
    </xf>
    <xf numFmtId="3" fontId="0" fillId="0" borderId="0" xfId="0" applyNumberFormat="1"/>
    <xf numFmtId="0" fontId="0" fillId="0" borderId="0" xfId="0" applyAlignment="1">
      <alignment horizontal="right" vertical="center"/>
    </xf>
    <xf numFmtId="0" fontId="0" fillId="0" borderId="0" xfId="0" pivotButton="1" applyAlignment="1">
      <alignment horizontal="left" vertical="center"/>
    </xf>
    <xf numFmtId="0" fontId="0" fillId="0" borderId="0" xfId="0" pivotButton="1" applyAlignment="1">
      <alignment horizontal="left"/>
    </xf>
    <xf numFmtId="0" fontId="0" fillId="0" borderId="0" xfId="0" applyAlignment="1">
      <alignment horizontal="right"/>
    </xf>
    <xf numFmtId="0" fontId="0" fillId="0" borderId="3" xfId="0" applyBorder="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2" fillId="4" borderId="1"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Fill="1" applyBorder="1"/>
    <xf numFmtId="0" fontId="1" fillId="0" borderId="0" xfId="0" applyFont="1" applyFill="1" applyBorder="1" applyAlignment="1">
      <alignment horizontal="center" vertical="center"/>
    </xf>
    <xf numFmtId="3" fontId="1" fillId="0" borderId="0" xfId="0" applyNumberFormat="1" applyFont="1" applyFill="1" applyBorder="1" applyAlignment="1">
      <alignment horizontal="center" vertical="center"/>
    </xf>
    <xf numFmtId="0" fontId="1" fillId="0" borderId="3" xfId="0" applyFont="1" applyBorder="1" applyAlignment="1">
      <alignment horizontal="center" vertical="center"/>
    </xf>
    <xf numFmtId="0" fontId="2" fillId="0" borderId="1" xfId="0" applyFont="1" applyBorder="1"/>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cellXfs>
  <cellStyles count="1">
    <cellStyle name="Normal" xfId="0" builtinId="0"/>
  </cellStyles>
  <dxfs count="17">
    <dxf>
      <alignment horizontal="right"/>
    </dxf>
    <dxf>
      <alignment horizontal="left"/>
    </dxf>
    <dxf>
      <alignment vertical="center"/>
    </dxf>
    <dxf>
      <alignment vertical="center"/>
    </dxf>
    <dxf>
      <alignment horizontal="right"/>
    </dxf>
    <dxf>
      <alignment vertical="bottom"/>
    </dxf>
    <dxf>
      <alignment vertical="bottom"/>
    </dxf>
    <dxf>
      <alignment horizontal="left"/>
    </dxf>
    <dxf>
      <numFmt numFmtId="3" formatCode="#,##0"/>
    </dxf>
    <dxf>
      <numFmt numFmtId="3" formatCode="#,##0"/>
    </dxf>
    <dxf>
      <numFmt numFmtId="3" formatCode="#,##0"/>
    </dxf>
    <dxf>
      <numFmt numFmtId="3" formatCode="#,##0"/>
    </dxf>
    <dxf>
      <numFmt numFmtId="3" formatCode="#,##0"/>
    </dxf>
    <dxf>
      <alignment horizontal="right"/>
    </dxf>
    <dxf>
      <alignment horizontal="left"/>
    </dxf>
    <dxf>
      <alignment vertical="bottom"/>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[HR_DB PROJECT.xlsx]DASHBOARD!PivotTable3</c:name>
    <c:fmtId val="0"/>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IN" sz="1400" b="1" i="0" u="none" strike="noStrike" baseline="0"/>
              <a:t>Gender Distribution</a:t>
            </a:r>
            <a:endParaRPr lang="en-US" sz="1400"/>
          </a:p>
        </c:rich>
      </c:tx>
      <c:layout>
        <c:manualLayout>
          <c:xMode val="edge"/>
          <c:yMode val="edge"/>
          <c:x val="0.23369388037021691"/>
          <c:y val="0.1158465475749049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421200460802128"/>
          <c:y val="0.25657909659440714"/>
          <c:w val="0.49491128371397014"/>
          <c:h val="0.64338466882816114"/>
        </c:manualLayout>
      </c:layout>
      <c:pieChart>
        <c:varyColors val="1"/>
        <c:ser>
          <c:idx val="0"/>
          <c:order val="0"/>
          <c:tx>
            <c:strRef>
              <c:f>DASHBOARD!$J$9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A3-4957-B402-9E20808DC65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A3-4957-B402-9E20808DC6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DASHBOARD!$I$10:$I$12</c:f>
              <c:strCache>
                <c:ptCount val="2"/>
                <c:pt idx="0">
                  <c:v>Female</c:v>
                </c:pt>
                <c:pt idx="1">
                  <c:v>Male</c:v>
                </c:pt>
              </c:strCache>
            </c:strRef>
          </c:cat>
          <c:val>
            <c:numRef>
              <c:f>DASHBOARD!$J$10:$J$12</c:f>
              <c:numCache>
                <c:formatCode>General</c:formatCode>
                <c:ptCount val="2"/>
                <c:pt idx="0">
                  <c:v>47</c:v>
                </c:pt>
                <c:pt idx="1">
                  <c:v>53</c:v>
                </c:pt>
              </c:numCache>
            </c:numRef>
          </c:val>
          <c:extLst>
            <c:ext xmlns:c16="http://schemas.microsoft.com/office/drawing/2014/chart" uri="{C3380CC4-5D6E-409C-BE32-E72D297353CC}">
              <c16:uniqueId val="{00000000-7688-4A90-898F-22CCA622033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[HR_DB PROJECT.xlsx]DASHBOARD!PivotTable1</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Employees</a:t>
            </a:r>
            <a:r>
              <a:rPr lang="en-US" sz="1400" b="1" baseline="0"/>
              <a:t> by Department</a:t>
            </a:r>
            <a:endParaRPr lang="en-US" sz="1400" b="1"/>
          </a:p>
        </c:rich>
      </c:tx>
      <c:layout>
        <c:manualLayout>
          <c:xMode val="edge"/>
          <c:yMode val="edge"/>
          <c:x val="0.29129771496164525"/>
          <c:y val="7.305324897143655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DASHBOARD!$C$10:$C$14</c:f>
              <c:strCache>
                <c:ptCount val="4"/>
                <c:pt idx="0">
                  <c:v>Finance</c:v>
                </c:pt>
                <c:pt idx="1">
                  <c:v>HR</c:v>
                </c:pt>
                <c:pt idx="2">
                  <c:v>IT</c:v>
                </c:pt>
                <c:pt idx="3">
                  <c:v>Sales</c:v>
                </c:pt>
              </c:strCache>
            </c:strRef>
          </c:cat>
          <c:val>
            <c:numRef>
              <c:f>DASHBOARD!$D$10:$D$14</c:f>
              <c:numCache>
                <c:formatCode>General</c:formatCode>
                <c:ptCount val="4"/>
                <c:pt idx="0">
                  <c:v>24</c:v>
                </c:pt>
                <c:pt idx="1">
                  <c:v>24</c:v>
                </c:pt>
                <c:pt idx="2">
                  <c:v>29</c:v>
                </c:pt>
                <c:pt idx="3">
                  <c:v>23</c:v>
                </c:pt>
              </c:numCache>
            </c:numRef>
          </c:val>
          <c:extLst>
            <c:ext xmlns:c16="http://schemas.microsoft.com/office/drawing/2014/chart" uri="{C3380CC4-5D6E-409C-BE32-E72D297353CC}">
              <c16:uniqueId val="{00000000-EAD3-4D15-81C0-1D11323D848E}"/>
            </c:ext>
          </c:extLst>
        </c:ser>
        <c:dLbls>
          <c:dLblPos val="outEnd"/>
          <c:showLegendKey val="0"/>
          <c:showVal val="1"/>
          <c:showCatName val="0"/>
          <c:showSerName val="0"/>
          <c:showPercent val="0"/>
          <c:showBubbleSize val="0"/>
        </c:dLbls>
        <c:gapWidth val="115"/>
        <c:overlap val="-20"/>
        <c:axId val="585544831"/>
        <c:axId val="585561631"/>
      </c:barChart>
      <c:catAx>
        <c:axId val="585544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61631"/>
        <c:crosses val="autoZero"/>
        <c:auto val="1"/>
        <c:lblAlgn val="ctr"/>
        <c:lblOffset val="100"/>
        <c:noMultiLvlLbl val="0"/>
      </c:catAx>
      <c:valAx>
        <c:axId val="585561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4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[HR_DB PROJECT.xlsx]DASHBOARD!PivotTable2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DASHBOARD!$G$9</c:f>
              <c:strCache>
                <c:ptCount val="1"/>
                <c:pt idx="0">
                  <c:v>Total</c:v>
                </c:pt>
              </c:strCache>
            </c:strRef>
          </c:tx>
          <c:spPr>
            <a:solidFill>
              <a:schemeClr val="accent4"/>
            </a:solidFill>
            <a:ln>
              <a:noFill/>
            </a:ln>
            <a:effectLst/>
          </c:spPr>
          <c:invertIfNegative val="0"/>
          <c:cat>
            <c:strRef>
              <c:f>DASHBOARD!$F$10:$F$14</c:f>
              <c:strCache>
                <c:ptCount val="4"/>
                <c:pt idx="0">
                  <c:v>Finance</c:v>
                </c:pt>
                <c:pt idx="1">
                  <c:v>HR</c:v>
                </c:pt>
                <c:pt idx="2">
                  <c:v>IT</c:v>
                </c:pt>
                <c:pt idx="3">
                  <c:v>Sales</c:v>
                </c:pt>
              </c:strCache>
            </c:strRef>
          </c:cat>
          <c:val>
            <c:numRef>
              <c:f>DASHBOARD!$G$10:$G$14</c:f>
              <c:numCache>
                <c:formatCode>#,##0</c:formatCode>
                <c:ptCount val="4"/>
                <c:pt idx="0">
                  <c:v>1445000</c:v>
                </c:pt>
                <c:pt idx="1">
                  <c:v>1170000</c:v>
                </c:pt>
                <c:pt idx="2">
                  <c:v>1909000</c:v>
                </c:pt>
                <c:pt idx="3">
                  <c:v>1397000</c:v>
                </c:pt>
              </c:numCache>
            </c:numRef>
          </c:val>
          <c:extLst>
            <c:ext xmlns:c16="http://schemas.microsoft.com/office/drawing/2014/chart" uri="{C3380CC4-5D6E-409C-BE32-E72D297353CC}">
              <c16:uniqueId val="{00000000-C2C2-4902-BE9E-7562E87C45E0}"/>
            </c:ext>
          </c:extLst>
        </c:ser>
        <c:dLbls>
          <c:showLegendKey val="0"/>
          <c:showVal val="0"/>
          <c:showCatName val="0"/>
          <c:showSerName val="0"/>
          <c:showPercent val="0"/>
          <c:showBubbleSize val="0"/>
        </c:dLbls>
        <c:gapWidth val="150"/>
        <c:overlap val="100"/>
        <c:axId val="126130111"/>
        <c:axId val="126138751"/>
      </c:barChart>
      <c:catAx>
        <c:axId val="126130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8751"/>
        <c:crosses val="autoZero"/>
        <c:auto val="1"/>
        <c:lblAlgn val="ctr"/>
        <c:lblOffset val="100"/>
        <c:noMultiLvlLbl val="0"/>
      </c:catAx>
      <c:valAx>
        <c:axId val="12613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1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1104900</xdr:colOff>
      <xdr:row>15</xdr:row>
      <xdr:rowOff>38100</xdr:rowOff>
    </xdr:from>
    <xdr:to>
      <xdr:col>12</xdr:col>
      <xdr:colOff>495300</xdr:colOff>
      <xdr:row>30</xdr:row>
      <xdr:rowOff>7620</xdr:rowOff>
    </xdr:to>
    <xdr:graphicFrame macro="">
      <xdr:nvGraphicFramePr>
        <xdr:cNvPr id="2" name="Chart 1">
          <a:extLst>
            <a:ext uri="{FF2B5EF4-FFF2-40B4-BE49-F238E27FC236}">
              <a16:creationId xmlns:a16="http://schemas.microsoft.com/office/drawing/2014/main" id="{79F89C7F-E775-972E-F137-06CBC21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121920</xdr:rowOff>
    </xdr:from>
    <xdr:to>
      <xdr:col>4</xdr:col>
      <xdr:colOff>1371600</xdr:colOff>
      <xdr:row>29</xdr:row>
      <xdr:rowOff>171450</xdr:rowOff>
    </xdr:to>
    <xdr:graphicFrame macro="">
      <xdr:nvGraphicFramePr>
        <xdr:cNvPr id="3" name="Chart 2">
          <a:extLst>
            <a:ext uri="{FF2B5EF4-FFF2-40B4-BE49-F238E27FC236}">
              <a16:creationId xmlns:a16="http://schemas.microsoft.com/office/drawing/2014/main" id="{3CA4613A-25A0-87EB-D5A6-951B34AE1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1569720</xdr:colOff>
      <xdr:row>15</xdr:row>
      <xdr:rowOff>64770</xdr:rowOff>
    </xdr:from>
    <xdr:to>
      <xdr:col>7</xdr:col>
      <xdr:colOff>922020</xdr:colOff>
      <xdr:row>30</xdr:row>
      <xdr:rowOff>26670</xdr:rowOff>
    </xdr:to>
    <xdr:graphicFrame macro="">
      <xdr:nvGraphicFramePr>
        <xdr:cNvPr id="4" name="Chart 3">
          <a:extLst>
            <a:ext uri="{FF2B5EF4-FFF2-40B4-BE49-F238E27FC236}">
              <a16:creationId xmlns:a16="http://schemas.microsoft.com/office/drawing/2014/main" id="{4F512A82-2347-A30C-A227-89CC9E324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373380</xdr:colOff>
      <xdr:row>0</xdr:row>
      <xdr:rowOff>0</xdr:rowOff>
    </xdr:from>
    <xdr:ext cx="1744980" cy="1592580"/>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E264132A-B713-C078-6CA3-4E1D704256E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614660" y="0"/>
              <a:ext cx="174498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365760</xdr:colOff>
      <xdr:row>7</xdr:row>
      <xdr:rowOff>15241</xdr:rowOff>
    </xdr:from>
    <xdr:ext cx="1760220" cy="1432560"/>
    <mc:AlternateContent xmlns:mc="http://schemas.openxmlformats.org/markup-compatibility/2006">
      <mc:Choice xmlns:a14="http://schemas.microsoft.com/office/drawing/2010/main" Requires="a14">
        <xdr:graphicFrame macro="">
          <xdr:nvGraphicFramePr>
            <xdr:cNvPr id="7" name="SALARY">
              <a:extLst>
                <a:ext uri="{FF2B5EF4-FFF2-40B4-BE49-F238E27FC236}">
                  <a16:creationId xmlns:a16="http://schemas.microsoft.com/office/drawing/2014/main" id="{49E0A3E1-04D5-E488-F279-BBE8916611AB}"/>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10607040" y="1615441"/>
              <a:ext cx="17602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Chavan" refreshedDate="46134.935430439815" createdVersion="8" refreshedVersion="8" minRefreshableVersion="3" recordCount="100" xr:uid="{C49B238D-1150-461D-8FFE-51FE4BB95872}">
  <cacheSource type="worksheet">
    <worksheetSource ref="A1:I101" sheet="HR DATA"/>
  </cacheSource>
  <cacheFields count="12">
    <cacheField name="EMP_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NAME" numFmtId="0">
      <sharedItems count="97">
        <s v="Rahul"/>
        <s v="Sneha"/>
        <s v="Amit"/>
        <s v="Priya"/>
        <s v="Rohit"/>
        <s v="Neha"/>
        <s v="Arjun"/>
        <s v="Kavita"/>
        <s v="Suresh"/>
        <s v="Pooja"/>
        <s v="Karan"/>
        <s v="Meena"/>
        <s v="Vijay"/>
        <s v="Anjali"/>
        <s v="Deepak"/>
        <s v="Ramesh"/>
        <s v="Komal"/>
        <s v="Nitin"/>
        <s v="Seema"/>
        <s v="Varun"/>
        <s v="Ritika"/>
        <s v="Manish"/>
        <s v="Alok"/>
        <s v="Shweta"/>
        <s v="Tarun"/>
        <s v="Nisha"/>
        <s v="Gaurav"/>
        <s v="Payal"/>
        <s v="Akash"/>
        <s v="Divya"/>
        <s v="Ayesha"/>
        <s v="Ravi"/>
        <s v="Sunil"/>
        <s v="Pallavi"/>
        <s v="Harsh"/>
        <s v="Kiran"/>
        <s v="Neelam"/>
        <s v="Yogesh"/>
        <s v="Tanvi"/>
        <s v="Sameer"/>
        <s v="Pankaj"/>
        <s v="Rekha"/>
        <s v="Mohit"/>
        <s v="Isha"/>
        <s v="Naveen"/>
        <s v="Ritu"/>
        <s v="Vikas"/>
        <s v="Sonal"/>
        <s v="Ajay"/>
        <s v="Deepa"/>
        <s v="Rohan"/>
        <s v="Simran"/>
        <s v="Kunal"/>
        <s v="Mehul"/>
        <s v="Nikita"/>
        <s v="Sanjay"/>
        <s v="Alisha"/>
        <s v="Girish"/>
        <s v="Ankit"/>
        <s v="Preeti"/>
        <s v="Aman"/>
        <s v="Rachna"/>
        <s v="Vivek"/>
        <s v="Keshav"/>
        <s v="Sangeeta"/>
        <s v="Nilesh"/>
        <s v="Tina"/>
        <s v="Abhishek"/>
        <s v="Bhavna"/>
        <s v="Kapil"/>
        <s v="Juhi"/>
        <s v="Dinesh"/>
        <s v="Shilpa"/>
        <s v="Rajat"/>
        <s v="Monika"/>
        <s v="Arvind"/>
        <s v="Swati"/>
        <s v="Lokesh"/>
        <s v="Neetu"/>
        <s v="Varsha"/>
        <s v="Prakash"/>
        <s v="Ritesh"/>
        <s v="Anu"/>
        <s v="Gopal"/>
        <s v="Suman"/>
        <s v="Imran"/>
        <s v="Kritika"/>
        <s v="Ashok"/>
        <s v="Reena"/>
        <s v="Manoj"/>
        <s v="Ruchi"/>
        <s v="Dev"/>
        <s v="Kajal"/>
        <s v="Siddharth"/>
        <s v="Priti"/>
        <s v="Geeta"/>
        <s v="Akshay"/>
      </sharedItems>
    </cacheField>
    <cacheField name="DEPARTMENT" numFmtId="0">
      <sharedItems count="4">
        <s v="IT"/>
        <s v="HR"/>
        <s v="Finance"/>
        <s v="Sales"/>
      </sharedItems>
    </cacheField>
    <cacheField name="DESIGNATION" numFmtId="0">
      <sharedItems count="23">
        <s v="Developer"/>
        <s v="Recruiter"/>
        <s v="Senior Developer"/>
        <s v="Accountant"/>
        <s v="Sales Executive"/>
        <s v="HR Manager"/>
        <s v="Team Lead"/>
        <s v="Analyst"/>
        <s v="Manager"/>
        <s v="Tester"/>
        <s v="Senior Analyst"/>
        <s v="Executive"/>
        <s v="Support Engineer"/>
        <s v="Coordinator"/>
        <s v="Architect"/>
        <s v="DevOps Engineer"/>
        <s v="HR Executive"/>
        <s v="Data Analyst"/>
        <s v="Data Scientist"/>
        <s v="Backend Developer"/>
        <s v="Frontend Developer"/>
        <s v="Data Engineer"/>
        <s v="System Admin"/>
      </sharedItems>
    </cacheField>
    <cacheField name="SALARY" numFmtId="0">
      <sharedItems containsSemiMixedTypes="0" containsString="0" containsNumber="1" containsInteger="1" minValue="39000" maxValue="95000" count="48">
        <n v="55000"/>
        <n v="42000"/>
        <n v="75000"/>
        <n v="48000"/>
        <n v="50000"/>
        <n v="65000"/>
        <n v="90000"/>
        <n v="52000"/>
        <n v="70000"/>
        <n v="45000"/>
        <n v="68000"/>
        <n v="40000"/>
        <n v="47000"/>
        <n v="60000"/>
        <n v="80000"/>
        <n v="39000"/>
        <n v="95000"/>
        <n v="46000"/>
        <n v="43000"/>
        <n v="58000"/>
        <n v="72000"/>
        <n v="54000"/>
        <n v="78000"/>
        <n v="41000"/>
        <n v="49000"/>
        <n v="61000"/>
        <n v="82000"/>
        <n v="57000"/>
        <n v="53000"/>
        <n v="62000"/>
        <n v="51000"/>
        <n v="77000"/>
        <n v="85000"/>
        <n v="56000"/>
        <n v="63000"/>
        <n v="71000"/>
        <n v="64000"/>
        <n v="44000"/>
        <n v="83000"/>
        <n v="76000"/>
        <n v="73000"/>
        <n v="67000"/>
        <n v="86000"/>
        <n v="79000"/>
        <n v="74000"/>
        <n v="81000"/>
        <n v="92000"/>
        <n v="87000"/>
      </sharedItems>
    </cacheField>
    <cacheField name="CITY" numFmtId="0">
      <sharedItems count="6">
        <s v="Mumbai"/>
        <s v="Pune"/>
        <s v="Bangalore"/>
        <s v="Delhi"/>
        <s v="Hyderabad"/>
        <s v="Chennai"/>
      </sharedItems>
    </cacheField>
    <cacheField name="JOIN_DATE" numFmtId="14">
      <sharedItems containsSemiMixedTypes="0" containsNonDate="0" containsDate="1" containsString="0" minDate="2016-11-11T00:00:00" maxDate="2022-09-10T00:00:00" count="74">
        <d v="2021-06-15T00:00:00"/>
        <d v="2020-03-10T00:00:00"/>
        <d v="2019-08-20T00:00:00"/>
        <d v="2022-01-05T00:00:00"/>
        <d v="2021-11-11T00:00:00"/>
        <d v="2018-07-25T00:00:00"/>
        <d v="2017-09-18T00:00:00"/>
        <d v="2020-05-30T00:00:00"/>
        <d v="2019-12-12T00:00:00"/>
        <d v="2022-02-14T00:00:00"/>
        <d v="2019-03-21T00:00:00"/>
        <d v="2021-10-01T00:00:00"/>
        <d v="2022-06-19T00:00:00"/>
        <d v="2020-07-07T00:00:00"/>
        <d v="2018-04-22T00:00:00"/>
        <d v="2021-09-09T00:00:00"/>
        <d v="2022-03-03T00:00:00"/>
        <d v="2020-12-12T00:00:00"/>
        <d v="2016-11-11T00:00:00"/>
        <d v="2021-05-05T00:00:00"/>
        <d v="2021-08-18T00:00:00"/>
        <d v="2020-10-10T00:00:00"/>
        <d v="2019-06-06T00:00:00"/>
        <d v="2021-04-04T00:00:00"/>
        <d v="2018-02-02T00:00:00"/>
        <d v="2022-01-01T00:00:00"/>
        <d v="2021-12-12T00:00:00"/>
        <d v="2020-09-09T00:00:00"/>
        <d v="2019-11-11T00:00:00"/>
        <d v="2018-08-08T00:00:00"/>
        <d v="2020-06-10T00:00:00"/>
        <d v="2021-03-12T00:00:00"/>
        <d v="2018-05-20T00:00:00"/>
        <d v="2022-01-15T00:00:00"/>
        <d v="2021-07-07T00:00:00"/>
        <d v="2019-02-18T00:00:00"/>
        <d v="2020-09-25T00:00:00"/>
        <d v="2022-03-30T00:00:00"/>
        <d v="2020-04-14T00:00:00"/>
        <d v="2019-08-08T00:00:00"/>
        <d v="2021-06-06T00:00:00"/>
        <d v="2020-12-01T00:00:00"/>
        <d v="2018-10-10T00:00:00"/>
        <d v="2019-01-01T00:00:00"/>
        <d v="2020-03-03T00:00:00"/>
        <d v="2018-07-07T00:00:00"/>
        <d v="2022-02-02T00:00:00"/>
        <d v="2020-08-08T00:00:00"/>
        <d v="2020-06-06T00:00:00"/>
        <d v="2017-12-12T00:00:00"/>
        <d v="2019-03-03T00:00:00"/>
        <d v="2018-11-11T00:00:00"/>
        <d v="2022-01-20T00:00:00"/>
        <d v="2019-09-09T00:00:00"/>
        <d v="2018-06-06T00:00:00"/>
        <d v="2020-02-02T00:00:00"/>
        <d v="2021-03-03T00:00:00"/>
        <d v="2020-04-04T00:00:00"/>
        <d v="2022-09-09T00:00:00"/>
        <d v="2020-01-01T00:00:00"/>
        <d v="2021-02-02T00:00:00"/>
        <d v="2018-05-05T00:00:00"/>
        <d v="2019-07-07T00:00:00"/>
        <d v="2021-08-08T00:00:00"/>
        <d v="2021-10-10T00:00:00"/>
        <d v="2020-01-15T00:00:00"/>
        <d v="2022-02-20T00:00:00"/>
        <d v="2018-03-25T00:00:00"/>
        <d v="2020-04-30T00:00:00"/>
        <d v="2017-01-01T00:00:00"/>
        <d v="2018-03-03T00:00:00"/>
        <d v="2017-04-04T00:00:00"/>
        <d v="2020-05-05T00:00:00"/>
        <d v="2022-06-06T00:00:00"/>
      </sharedItems>
      <fieldGroup par="11"/>
    </cacheField>
    <cacheField name="EXPERIENCE" numFmtId="0">
      <sharedItems containsSemiMixedTypes="0" containsString="0" containsNumber="1" containsInteger="1" minValue="2" maxValue="9"/>
    </cacheField>
    <cacheField name="GENDER" numFmtId="0">
      <sharedItems count="2">
        <s v="Male"/>
        <s v="Female"/>
      </sharedItems>
    </cacheField>
    <cacheField name="Months (JOIN_DATE)" numFmtId="0" databaseField="0">
      <fieldGroup base="6">
        <rangePr groupBy="months" startDate="2016-11-11T00:00:00" endDate="2022-09-10T00:00:00"/>
        <groupItems count="14">
          <s v="&lt;11-11-2016"/>
          <s v="Jan"/>
          <s v="Feb"/>
          <s v="Mar"/>
          <s v="Apr"/>
          <s v="May"/>
          <s v="Jun"/>
          <s v="Jul"/>
          <s v="Aug"/>
          <s v="Sep"/>
          <s v="Oct"/>
          <s v="Nov"/>
          <s v="Dec"/>
          <s v="&gt;10-09-2022"/>
        </groupItems>
      </fieldGroup>
    </cacheField>
    <cacheField name="Quarters (JOIN_DATE)" numFmtId="0" databaseField="0">
      <fieldGroup base="6">
        <rangePr groupBy="quarters" startDate="2016-11-11T00:00:00" endDate="2022-09-10T00:00:00"/>
        <groupItems count="6">
          <s v="&lt;11-11-2016"/>
          <s v="Qtr1"/>
          <s v="Qtr2"/>
          <s v="Qtr3"/>
          <s v="Qtr4"/>
          <s v="&gt;10-09-2022"/>
        </groupItems>
      </fieldGroup>
    </cacheField>
    <cacheField name="Years (JOIN_DATE)" numFmtId="0" databaseField="0">
      <fieldGroup base="6">
        <rangePr groupBy="years" startDate="2016-11-11T00:00:00" endDate="2022-09-10T00:00:00"/>
        <groupItems count="9">
          <s v="&lt;11-11-2016"/>
          <s v="2016"/>
          <s v="2017"/>
          <s v="2018"/>
          <s v="2019"/>
          <s v="2020"/>
          <s v="2021"/>
          <s v="2022"/>
          <s v="&gt;10-09-2022"/>
        </groupItems>
      </fieldGroup>
    </cacheField>
  </cacheFields>
  <extLst>
    <ext xmlns:x14="http://schemas.microsoft.com/office/spreadsheetml/2009/9/main" uri="{725AE2AE-9491-48be-B2B4-4EB974FC3084}">
      <x14:pivotCacheDefinition pivotCacheId="140419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n v="3"/>
    <x v="0"/>
  </r>
  <r>
    <x v="1"/>
    <x v="1"/>
    <x v="1"/>
    <x v="1"/>
    <x v="1"/>
    <x v="1"/>
    <x v="1"/>
    <n v="4"/>
    <x v="1"/>
  </r>
  <r>
    <x v="2"/>
    <x v="2"/>
    <x v="0"/>
    <x v="2"/>
    <x v="2"/>
    <x v="2"/>
    <x v="2"/>
    <n v="6"/>
    <x v="0"/>
  </r>
  <r>
    <x v="3"/>
    <x v="3"/>
    <x v="2"/>
    <x v="3"/>
    <x v="3"/>
    <x v="3"/>
    <x v="3"/>
    <n v="2"/>
    <x v="1"/>
  </r>
  <r>
    <x v="4"/>
    <x v="4"/>
    <x v="3"/>
    <x v="4"/>
    <x v="4"/>
    <x v="0"/>
    <x v="4"/>
    <n v="3"/>
    <x v="0"/>
  </r>
  <r>
    <x v="5"/>
    <x v="5"/>
    <x v="1"/>
    <x v="5"/>
    <x v="5"/>
    <x v="1"/>
    <x v="5"/>
    <n v="7"/>
    <x v="1"/>
  </r>
  <r>
    <x v="6"/>
    <x v="6"/>
    <x v="0"/>
    <x v="6"/>
    <x v="6"/>
    <x v="4"/>
    <x v="6"/>
    <n v="8"/>
    <x v="0"/>
  </r>
  <r>
    <x v="7"/>
    <x v="7"/>
    <x v="2"/>
    <x v="7"/>
    <x v="7"/>
    <x v="3"/>
    <x v="7"/>
    <n v="4"/>
    <x v="1"/>
  </r>
  <r>
    <x v="8"/>
    <x v="8"/>
    <x v="3"/>
    <x v="8"/>
    <x v="8"/>
    <x v="5"/>
    <x v="8"/>
    <n v="5"/>
    <x v="0"/>
  </r>
  <r>
    <x v="9"/>
    <x v="9"/>
    <x v="0"/>
    <x v="9"/>
    <x v="9"/>
    <x v="0"/>
    <x v="9"/>
    <n v="2"/>
    <x v="1"/>
  </r>
  <r>
    <x v="10"/>
    <x v="10"/>
    <x v="2"/>
    <x v="10"/>
    <x v="10"/>
    <x v="2"/>
    <x v="10"/>
    <n v="6"/>
    <x v="0"/>
  </r>
  <r>
    <x v="11"/>
    <x v="11"/>
    <x v="1"/>
    <x v="11"/>
    <x v="11"/>
    <x v="3"/>
    <x v="11"/>
    <n v="3"/>
    <x v="1"/>
  </r>
  <r>
    <x v="12"/>
    <x v="12"/>
    <x v="3"/>
    <x v="11"/>
    <x v="12"/>
    <x v="1"/>
    <x v="12"/>
    <n v="2"/>
    <x v="0"/>
  </r>
  <r>
    <x v="13"/>
    <x v="13"/>
    <x v="0"/>
    <x v="0"/>
    <x v="13"/>
    <x v="4"/>
    <x v="13"/>
    <n v="5"/>
    <x v="1"/>
  </r>
  <r>
    <x v="14"/>
    <x v="14"/>
    <x v="2"/>
    <x v="8"/>
    <x v="14"/>
    <x v="0"/>
    <x v="14"/>
    <n v="7"/>
    <x v="0"/>
  </r>
  <r>
    <x v="15"/>
    <x v="15"/>
    <x v="0"/>
    <x v="12"/>
    <x v="3"/>
    <x v="5"/>
    <x v="15"/>
    <n v="3"/>
    <x v="0"/>
  </r>
  <r>
    <x v="16"/>
    <x v="16"/>
    <x v="1"/>
    <x v="13"/>
    <x v="15"/>
    <x v="2"/>
    <x v="16"/>
    <n v="2"/>
    <x v="1"/>
  </r>
  <r>
    <x v="17"/>
    <x v="17"/>
    <x v="3"/>
    <x v="4"/>
    <x v="7"/>
    <x v="3"/>
    <x v="17"/>
    <n v="4"/>
    <x v="0"/>
  </r>
  <r>
    <x v="18"/>
    <x v="18"/>
    <x v="0"/>
    <x v="14"/>
    <x v="16"/>
    <x v="4"/>
    <x v="18"/>
    <n v="9"/>
    <x v="1"/>
  </r>
  <r>
    <x v="19"/>
    <x v="19"/>
    <x v="2"/>
    <x v="3"/>
    <x v="17"/>
    <x v="1"/>
    <x v="19"/>
    <n v="3"/>
    <x v="0"/>
  </r>
  <r>
    <x v="20"/>
    <x v="20"/>
    <x v="1"/>
    <x v="1"/>
    <x v="18"/>
    <x v="0"/>
    <x v="20"/>
    <n v="3"/>
    <x v="1"/>
  </r>
  <r>
    <x v="21"/>
    <x v="21"/>
    <x v="0"/>
    <x v="0"/>
    <x v="19"/>
    <x v="2"/>
    <x v="21"/>
    <n v="5"/>
    <x v="0"/>
  </r>
  <r>
    <x v="22"/>
    <x v="22"/>
    <x v="3"/>
    <x v="8"/>
    <x v="20"/>
    <x v="4"/>
    <x v="22"/>
    <n v="6"/>
    <x v="0"/>
  </r>
  <r>
    <x v="23"/>
    <x v="23"/>
    <x v="2"/>
    <x v="7"/>
    <x v="21"/>
    <x v="3"/>
    <x v="23"/>
    <n v="3"/>
    <x v="1"/>
  </r>
  <r>
    <x v="24"/>
    <x v="24"/>
    <x v="0"/>
    <x v="15"/>
    <x v="22"/>
    <x v="5"/>
    <x v="24"/>
    <n v="7"/>
    <x v="0"/>
  </r>
  <r>
    <x v="25"/>
    <x v="25"/>
    <x v="1"/>
    <x v="16"/>
    <x v="23"/>
    <x v="1"/>
    <x v="25"/>
    <n v="2"/>
    <x v="1"/>
  </r>
  <r>
    <x v="26"/>
    <x v="26"/>
    <x v="3"/>
    <x v="11"/>
    <x v="24"/>
    <x v="0"/>
    <x v="26"/>
    <n v="3"/>
    <x v="0"/>
  </r>
  <r>
    <x v="27"/>
    <x v="27"/>
    <x v="2"/>
    <x v="3"/>
    <x v="12"/>
    <x v="2"/>
    <x v="27"/>
    <n v="4"/>
    <x v="1"/>
  </r>
  <r>
    <x v="28"/>
    <x v="28"/>
    <x v="0"/>
    <x v="0"/>
    <x v="25"/>
    <x v="3"/>
    <x v="28"/>
    <n v="6"/>
    <x v="0"/>
  </r>
  <r>
    <x v="29"/>
    <x v="29"/>
    <x v="1"/>
    <x v="8"/>
    <x v="8"/>
    <x v="4"/>
    <x v="29"/>
    <n v="7"/>
    <x v="1"/>
  </r>
  <r>
    <x v="30"/>
    <x v="30"/>
    <x v="0"/>
    <x v="17"/>
    <x v="5"/>
    <x v="0"/>
    <x v="30"/>
    <n v="5"/>
    <x v="1"/>
  </r>
  <r>
    <x v="31"/>
    <x v="31"/>
    <x v="3"/>
    <x v="11"/>
    <x v="3"/>
    <x v="1"/>
    <x v="31"/>
    <n v="3"/>
    <x v="0"/>
  </r>
  <r>
    <x v="32"/>
    <x v="32"/>
    <x v="2"/>
    <x v="8"/>
    <x v="26"/>
    <x v="3"/>
    <x v="32"/>
    <n v="7"/>
    <x v="0"/>
  </r>
  <r>
    <x v="33"/>
    <x v="33"/>
    <x v="1"/>
    <x v="1"/>
    <x v="1"/>
    <x v="2"/>
    <x v="33"/>
    <n v="2"/>
    <x v="1"/>
  </r>
  <r>
    <x v="34"/>
    <x v="34"/>
    <x v="0"/>
    <x v="0"/>
    <x v="27"/>
    <x v="4"/>
    <x v="34"/>
    <n v="4"/>
    <x v="0"/>
  </r>
  <r>
    <x v="35"/>
    <x v="35"/>
    <x v="3"/>
    <x v="8"/>
    <x v="2"/>
    <x v="5"/>
    <x v="35"/>
    <n v="6"/>
    <x v="0"/>
  </r>
  <r>
    <x v="36"/>
    <x v="36"/>
    <x v="2"/>
    <x v="7"/>
    <x v="28"/>
    <x v="0"/>
    <x v="36"/>
    <n v="4"/>
    <x v="1"/>
  </r>
  <r>
    <x v="37"/>
    <x v="37"/>
    <x v="0"/>
    <x v="9"/>
    <x v="17"/>
    <x v="3"/>
    <x v="37"/>
    <n v="2"/>
    <x v="0"/>
  </r>
  <r>
    <x v="38"/>
    <x v="38"/>
    <x v="1"/>
    <x v="13"/>
    <x v="11"/>
    <x v="1"/>
    <x v="4"/>
    <n v="3"/>
    <x v="1"/>
  </r>
  <r>
    <x v="39"/>
    <x v="39"/>
    <x v="3"/>
    <x v="11"/>
    <x v="4"/>
    <x v="2"/>
    <x v="38"/>
    <n v="5"/>
    <x v="0"/>
  </r>
  <r>
    <x v="40"/>
    <x v="40"/>
    <x v="0"/>
    <x v="0"/>
    <x v="29"/>
    <x v="5"/>
    <x v="39"/>
    <n v="6"/>
    <x v="0"/>
  </r>
  <r>
    <x v="41"/>
    <x v="41"/>
    <x v="2"/>
    <x v="3"/>
    <x v="3"/>
    <x v="4"/>
    <x v="40"/>
    <n v="3"/>
    <x v="1"/>
  </r>
  <r>
    <x v="42"/>
    <x v="42"/>
    <x v="3"/>
    <x v="11"/>
    <x v="30"/>
    <x v="3"/>
    <x v="41"/>
    <n v="4"/>
    <x v="0"/>
  </r>
  <r>
    <x v="43"/>
    <x v="43"/>
    <x v="1"/>
    <x v="8"/>
    <x v="20"/>
    <x v="0"/>
    <x v="42"/>
    <n v="7"/>
    <x v="1"/>
  </r>
  <r>
    <x v="44"/>
    <x v="44"/>
    <x v="0"/>
    <x v="15"/>
    <x v="14"/>
    <x v="1"/>
    <x v="43"/>
    <n v="6"/>
    <x v="0"/>
  </r>
  <r>
    <x v="45"/>
    <x v="45"/>
    <x v="2"/>
    <x v="7"/>
    <x v="0"/>
    <x v="2"/>
    <x v="44"/>
    <n v="5"/>
    <x v="1"/>
  </r>
  <r>
    <x v="46"/>
    <x v="46"/>
    <x v="3"/>
    <x v="8"/>
    <x v="31"/>
    <x v="4"/>
    <x v="45"/>
    <n v="7"/>
    <x v="0"/>
  </r>
  <r>
    <x v="47"/>
    <x v="47"/>
    <x v="1"/>
    <x v="11"/>
    <x v="23"/>
    <x v="3"/>
    <x v="46"/>
    <n v="2"/>
    <x v="1"/>
  </r>
  <r>
    <x v="48"/>
    <x v="48"/>
    <x v="0"/>
    <x v="12"/>
    <x v="24"/>
    <x v="0"/>
    <x v="19"/>
    <n v="3"/>
    <x v="0"/>
  </r>
  <r>
    <x v="49"/>
    <x v="49"/>
    <x v="2"/>
    <x v="3"/>
    <x v="12"/>
    <x v="5"/>
    <x v="15"/>
    <n v="3"/>
    <x v="1"/>
  </r>
  <r>
    <x v="50"/>
    <x v="50"/>
    <x v="0"/>
    <x v="0"/>
    <x v="13"/>
    <x v="2"/>
    <x v="47"/>
    <n v="5"/>
    <x v="0"/>
  </r>
  <r>
    <x v="51"/>
    <x v="51"/>
    <x v="1"/>
    <x v="1"/>
    <x v="18"/>
    <x v="4"/>
    <x v="23"/>
    <n v="3"/>
    <x v="1"/>
  </r>
  <r>
    <x v="52"/>
    <x v="52"/>
    <x v="3"/>
    <x v="11"/>
    <x v="7"/>
    <x v="0"/>
    <x v="48"/>
    <n v="4"/>
    <x v="0"/>
  </r>
  <r>
    <x v="53"/>
    <x v="53"/>
    <x v="2"/>
    <x v="8"/>
    <x v="32"/>
    <x v="1"/>
    <x v="49"/>
    <n v="8"/>
    <x v="0"/>
  </r>
  <r>
    <x v="54"/>
    <x v="54"/>
    <x v="0"/>
    <x v="18"/>
    <x v="6"/>
    <x v="3"/>
    <x v="50"/>
    <n v="6"/>
    <x v="1"/>
  </r>
  <r>
    <x v="55"/>
    <x v="55"/>
    <x v="3"/>
    <x v="8"/>
    <x v="22"/>
    <x v="2"/>
    <x v="51"/>
    <n v="7"/>
    <x v="0"/>
  </r>
  <r>
    <x v="56"/>
    <x v="56"/>
    <x v="1"/>
    <x v="13"/>
    <x v="15"/>
    <x v="5"/>
    <x v="52"/>
    <n v="2"/>
    <x v="1"/>
  </r>
  <r>
    <x v="57"/>
    <x v="57"/>
    <x v="2"/>
    <x v="7"/>
    <x v="33"/>
    <x v="0"/>
    <x v="21"/>
    <n v="5"/>
    <x v="0"/>
  </r>
  <r>
    <x v="58"/>
    <x v="58"/>
    <x v="0"/>
    <x v="0"/>
    <x v="34"/>
    <x v="4"/>
    <x v="53"/>
    <n v="6"/>
    <x v="0"/>
  </r>
  <r>
    <x v="59"/>
    <x v="59"/>
    <x v="1"/>
    <x v="8"/>
    <x v="35"/>
    <x v="1"/>
    <x v="54"/>
    <n v="7"/>
    <x v="1"/>
  </r>
  <r>
    <x v="60"/>
    <x v="60"/>
    <x v="0"/>
    <x v="19"/>
    <x v="36"/>
    <x v="0"/>
    <x v="55"/>
    <n v="5"/>
    <x v="0"/>
  </r>
  <r>
    <x v="61"/>
    <x v="61"/>
    <x v="1"/>
    <x v="1"/>
    <x v="37"/>
    <x v="3"/>
    <x v="56"/>
    <n v="3"/>
    <x v="1"/>
  </r>
  <r>
    <x v="62"/>
    <x v="62"/>
    <x v="2"/>
    <x v="7"/>
    <x v="27"/>
    <x v="1"/>
    <x v="57"/>
    <n v="4"/>
    <x v="0"/>
  </r>
  <r>
    <x v="63"/>
    <x v="9"/>
    <x v="3"/>
    <x v="11"/>
    <x v="30"/>
    <x v="2"/>
    <x v="19"/>
    <n v="3"/>
    <x v="1"/>
  </r>
  <r>
    <x v="64"/>
    <x v="63"/>
    <x v="0"/>
    <x v="20"/>
    <x v="13"/>
    <x v="4"/>
    <x v="22"/>
    <n v="6"/>
    <x v="0"/>
  </r>
  <r>
    <x v="65"/>
    <x v="64"/>
    <x v="2"/>
    <x v="8"/>
    <x v="38"/>
    <x v="5"/>
    <x v="45"/>
    <n v="7"/>
    <x v="1"/>
  </r>
  <r>
    <x v="66"/>
    <x v="65"/>
    <x v="3"/>
    <x v="8"/>
    <x v="39"/>
    <x v="0"/>
    <x v="39"/>
    <n v="6"/>
    <x v="0"/>
  </r>
  <r>
    <x v="67"/>
    <x v="66"/>
    <x v="1"/>
    <x v="13"/>
    <x v="11"/>
    <x v="1"/>
    <x v="58"/>
    <n v="2"/>
    <x v="1"/>
  </r>
  <r>
    <x v="68"/>
    <x v="67"/>
    <x v="0"/>
    <x v="21"/>
    <x v="26"/>
    <x v="3"/>
    <x v="42"/>
    <n v="7"/>
    <x v="0"/>
  </r>
  <r>
    <x v="69"/>
    <x v="68"/>
    <x v="2"/>
    <x v="3"/>
    <x v="3"/>
    <x v="2"/>
    <x v="4"/>
    <n v="3"/>
    <x v="1"/>
  </r>
  <r>
    <x v="70"/>
    <x v="69"/>
    <x v="3"/>
    <x v="11"/>
    <x v="4"/>
    <x v="4"/>
    <x v="59"/>
    <n v="4"/>
    <x v="0"/>
  </r>
  <r>
    <x v="71"/>
    <x v="70"/>
    <x v="1"/>
    <x v="11"/>
    <x v="1"/>
    <x v="5"/>
    <x v="60"/>
    <n v="3"/>
    <x v="1"/>
  </r>
  <r>
    <x v="72"/>
    <x v="71"/>
    <x v="0"/>
    <x v="22"/>
    <x v="0"/>
    <x v="0"/>
    <x v="44"/>
    <n v="5"/>
    <x v="0"/>
  </r>
  <r>
    <x v="73"/>
    <x v="72"/>
    <x v="2"/>
    <x v="7"/>
    <x v="33"/>
    <x v="3"/>
    <x v="57"/>
    <n v="4"/>
    <x v="1"/>
  </r>
  <r>
    <x v="74"/>
    <x v="73"/>
    <x v="3"/>
    <x v="8"/>
    <x v="22"/>
    <x v="1"/>
    <x v="61"/>
    <n v="7"/>
    <x v="0"/>
  </r>
  <r>
    <x v="75"/>
    <x v="74"/>
    <x v="1"/>
    <x v="8"/>
    <x v="40"/>
    <x v="2"/>
    <x v="54"/>
    <n v="7"/>
    <x v="1"/>
  </r>
  <r>
    <x v="76"/>
    <x v="75"/>
    <x v="0"/>
    <x v="0"/>
    <x v="25"/>
    <x v="4"/>
    <x v="62"/>
    <n v="6"/>
    <x v="0"/>
  </r>
  <r>
    <x v="77"/>
    <x v="76"/>
    <x v="2"/>
    <x v="3"/>
    <x v="24"/>
    <x v="5"/>
    <x v="63"/>
    <n v="3"/>
    <x v="1"/>
  </r>
  <r>
    <x v="78"/>
    <x v="77"/>
    <x v="3"/>
    <x v="11"/>
    <x v="7"/>
    <x v="0"/>
    <x v="27"/>
    <n v="4"/>
    <x v="0"/>
  </r>
  <r>
    <x v="79"/>
    <x v="78"/>
    <x v="1"/>
    <x v="1"/>
    <x v="18"/>
    <x v="3"/>
    <x v="64"/>
    <n v="3"/>
    <x v="1"/>
  </r>
  <r>
    <x v="80"/>
    <x v="79"/>
    <x v="0"/>
    <x v="17"/>
    <x v="41"/>
    <x v="1"/>
    <x v="28"/>
    <n v="6"/>
    <x v="1"/>
  </r>
  <r>
    <x v="81"/>
    <x v="80"/>
    <x v="2"/>
    <x v="8"/>
    <x v="42"/>
    <x v="2"/>
    <x v="49"/>
    <n v="8"/>
    <x v="0"/>
  </r>
  <r>
    <x v="82"/>
    <x v="81"/>
    <x v="3"/>
    <x v="11"/>
    <x v="28"/>
    <x v="4"/>
    <x v="65"/>
    <n v="4"/>
    <x v="0"/>
  </r>
  <r>
    <x v="83"/>
    <x v="82"/>
    <x v="1"/>
    <x v="13"/>
    <x v="23"/>
    <x v="5"/>
    <x v="66"/>
    <n v="2"/>
    <x v="1"/>
  </r>
  <r>
    <x v="84"/>
    <x v="83"/>
    <x v="0"/>
    <x v="15"/>
    <x v="43"/>
    <x v="0"/>
    <x v="67"/>
    <n v="7"/>
    <x v="0"/>
  </r>
  <r>
    <x v="85"/>
    <x v="84"/>
    <x v="2"/>
    <x v="7"/>
    <x v="0"/>
    <x v="3"/>
    <x v="68"/>
    <n v="5"/>
    <x v="1"/>
  </r>
  <r>
    <x v="86"/>
    <x v="85"/>
    <x v="3"/>
    <x v="8"/>
    <x v="14"/>
    <x v="1"/>
    <x v="61"/>
    <n v="7"/>
    <x v="0"/>
  </r>
  <r>
    <x v="87"/>
    <x v="86"/>
    <x v="1"/>
    <x v="11"/>
    <x v="1"/>
    <x v="2"/>
    <x v="40"/>
    <n v="3"/>
    <x v="1"/>
  </r>
  <r>
    <x v="88"/>
    <x v="87"/>
    <x v="0"/>
    <x v="12"/>
    <x v="4"/>
    <x v="4"/>
    <x v="34"/>
    <n v="3"/>
    <x v="0"/>
  </r>
  <r>
    <x v="89"/>
    <x v="88"/>
    <x v="2"/>
    <x v="3"/>
    <x v="12"/>
    <x v="5"/>
    <x v="63"/>
    <n v="3"/>
    <x v="1"/>
  </r>
  <r>
    <x v="90"/>
    <x v="89"/>
    <x v="3"/>
    <x v="11"/>
    <x v="30"/>
    <x v="0"/>
    <x v="27"/>
    <n v="4"/>
    <x v="0"/>
  </r>
  <r>
    <x v="91"/>
    <x v="90"/>
    <x v="1"/>
    <x v="8"/>
    <x v="44"/>
    <x v="3"/>
    <x v="42"/>
    <n v="7"/>
    <x v="1"/>
  </r>
  <r>
    <x v="92"/>
    <x v="91"/>
    <x v="0"/>
    <x v="0"/>
    <x v="29"/>
    <x v="1"/>
    <x v="28"/>
    <n v="6"/>
    <x v="0"/>
  </r>
  <r>
    <x v="93"/>
    <x v="92"/>
    <x v="2"/>
    <x v="7"/>
    <x v="33"/>
    <x v="2"/>
    <x v="17"/>
    <n v="5"/>
    <x v="1"/>
  </r>
  <r>
    <x v="94"/>
    <x v="93"/>
    <x v="3"/>
    <x v="8"/>
    <x v="45"/>
    <x v="4"/>
    <x v="69"/>
    <n v="8"/>
    <x v="0"/>
  </r>
  <r>
    <x v="95"/>
    <x v="94"/>
    <x v="1"/>
    <x v="1"/>
    <x v="18"/>
    <x v="5"/>
    <x v="60"/>
    <n v="3"/>
    <x v="1"/>
  </r>
  <r>
    <x v="96"/>
    <x v="44"/>
    <x v="0"/>
    <x v="18"/>
    <x v="46"/>
    <x v="0"/>
    <x v="70"/>
    <n v="7"/>
    <x v="0"/>
  </r>
  <r>
    <x v="97"/>
    <x v="95"/>
    <x v="2"/>
    <x v="8"/>
    <x v="47"/>
    <x v="3"/>
    <x v="71"/>
    <n v="8"/>
    <x v="1"/>
  </r>
  <r>
    <x v="98"/>
    <x v="96"/>
    <x v="3"/>
    <x v="11"/>
    <x v="21"/>
    <x v="1"/>
    <x v="72"/>
    <n v="4"/>
    <x v="0"/>
  </r>
  <r>
    <x v="99"/>
    <x v="47"/>
    <x v="1"/>
    <x v="13"/>
    <x v="11"/>
    <x v="2"/>
    <x v="73"/>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FA4B00-DF2C-404C-B1D8-3FAEE06858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9:J12" firstHeaderRow="1" firstDataRow="1" firstDataCol="1"/>
  <pivotFields count="12">
    <pivotField dataField="1" showAll="0"/>
    <pivotField showAll="0"/>
    <pivotField showAll="0">
      <items count="5">
        <item x="2"/>
        <item x="1"/>
        <item x="0"/>
        <item x="3"/>
        <item t="default"/>
      </items>
    </pivotField>
    <pivotField showAll="0"/>
    <pivotField showAll="0">
      <items count="49">
        <item x="15"/>
        <item x="11"/>
        <item x="23"/>
        <item x="1"/>
        <item x="18"/>
        <item x="37"/>
        <item x="9"/>
        <item x="17"/>
        <item x="12"/>
        <item x="3"/>
        <item x="24"/>
        <item x="4"/>
        <item x="30"/>
        <item x="7"/>
        <item x="28"/>
        <item x="21"/>
        <item x="0"/>
        <item x="33"/>
        <item x="27"/>
        <item x="19"/>
        <item x="13"/>
        <item x="25"/>
        <item x="29"/>
        <item x="34"/>
        <item x="36"/>
        <item x="5"/>
        <item x="41"/>
        <item x="10"/>
        <item x="8"/>
        <item x="35"/>
        <item x="20"/>
        <item x="40"/>
        <item x="44"/>
        <item x="2"/>
        <item x="39"/>
        <item x="31"/>
        <item x="22"/>
        <item x="43"/>
        <item x="14"/>
        <item x="45"/>
        <item x="26"/>
        <item x="38"/>
        <item x="32"/>
        <item x="42"/>
        <item x="47"/>
        <item x="6"/>
        <item x="46"/>
        <item x="16"/>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3">
    <i>
      <x/>
    </i>
    <i>
      <x v="1"/>
    </i>
    <i t="grand">
      <x/>
    </i>
  </rowItems>
  <colItems count="1">
    <i/>
  </colItems>
  <dataFields count="1">
    <dataField name="Count of EMP_ID" fld="0" subtotal="count" baseField="8" baseItem="0"/>
  </dataFields>
  <formats count="4">
    <format dxfId="3">
      <pivotArea field="8" type="button" dataOnly="0" labelOnly="1" outline="0" axis="axisRow" fieldPosition="0"/>
    </format>
    <format dxfId="2">
      <pivotArea dataOnly="0" labelOnly="1" outline="0" axis="axisValues" fieldPosition="0"/>
    </format>
    <format dxfId="1">
      <pivotArea field="8" type="button" dataOnly="0" labelOnly="1" outline="0" axis="axisRow"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2D675-5A19-4203-B90D-4469467E5F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9:G14" firstHeaderRow="1" firstDataRow="1" firstDataCol="1"/>
  <pivotFields count="12">
    <pivotField showAll="0"/>
    <pivotField showAll="0"/>
    <pivotField axis="axisRow" showAll="0">
      <items count="5">
        <item x="2"/>
        <item x="1"/>
        <item x="0"/>
        <item x="3"/>
        <item t="default"/>
      </items>
    </pivotField>
    <pivotField showAll="0"/>
    <pivotField dataField="1" showAll="0">
      <items count="49">
        <item x="15"/>
        <item x="11"/>
        <item x="23"/>
        <item x="1"/>
        <item x="18"/>
        <item x="37"/>
        <item x="9"/>
        <item x="17"/>
        <item x="12"/>
        <item x="3"/>
        <item x="24"/>
        <item x="4"/>
        <item x="30"/>
        <item x="7"/>
        <item x="28"/>
        <item x="21"/>
        <item x="0"/>
        <item x="33"/>
        <item x="27"/>
        <item x="19"/>
        <item x="13"/>
        <item x="25"/>
        <item x="29"/>
        <item x="34"/>
        <item x="36"/>
        <item x="5"/>
        <item x="41"/>
        <item x="10"/>
        <item x="8"/>
        <item x="35"/>
        <item x="20"/>
        <item x="40"/>
        <item x="44"/>
        <item x="2"/>
        <item x="39"/>
        <item x="31"/>
        <item x="22"/>
        <item x="43"/>
        <item x="14"/>
        <item x="45"/>
        <item x="26"/>
        <item x="38"/>
        <item x="32"/>
        <item x="42"/>
        <item x="47"/>
        <item x="6"/>
        <item x="46"/>
        <item x="16"/>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5">
    <i>
      <x/>
    </i>
    <i>
      <x v="1"/>
    </i>
    <i>
      <x v="2"/>
    </i>
    <i>
      <x v="3"/>
    </i>
    <i t="grand">
      <x/>
    </i>
  </rowItems>
  <colItems count="1">
    <i/>
  </colItems>
  <dataFields count="1">
    <dataField name="Sum of SALARY" fld="4" baseField="0" baseItem="0"/>
  </dataFields>
  <formats count="9">
    <format dxfId="12">
      <pivotArea collapsedLevelsAreSubtotals="1" fieldPosition="0">
        <references count="1">
          <reference field="2" count="1">
            <x v="0"/>
          </reference>
        </references>
      </pivotArea>
    </format>
    <format dxfId="11">
      <pivotArea collapsedLevelsAreSubtotals="1" fieldPosition="0">
        <references count="1">
          <reference field="2" count="1">
            <x v="1"/>
          </reference>
        </references>
      </pivotArea>
    </format>
    <format dxfId="10">
      <pivotArea collapsedLevelsAreSubtotals="1" fieldPosition="0">
        <references count="1">
          <reference field="2" count="1">
            <x v="2"/>
          </reference>
        </references>
      </pivotArea>
    </format>
    <format dxfId="9">
      <pivotArea collapsedLevelsAreSubtotals="1" fieldPosition="0">
        <references count="1">
          <reference field="2" count="1">
            <x v="3"/>
          </reference>
        </references>
      </pivotArea>
    </format>
    <format dxfId="8">
      <pivotArea grandRow="1" outline="0" collapsedLevelsAreSubtotals="1" fieldPosition="0"/>
    </format>
    <format dxfId="7">
      <pivotArea field="2" type="button" dataOnly="0" labelOnly="1" outline="0" axis="axisRow" fieldPosition="0"/>
    </format>
    <format dxfId="6">
      <pivotArea field="2" type="button" dataOnly="0" labelOnly="1" outline="0" axis="axisRow" fieldPosition="0"/>
    </format>
    <format dxfId="5">
      <pivotArea dataOnly="0" labelOnly="1" outline="0" axis="axisValues"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C0FDF-7392-4307-A3FB-135F9497C1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9:D14" firstHeaderRow="1" firstDataRow="1" firstDataCol="1"/>
  <pivotFields count="1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98">
        <item sd="0" x="67"/>
        <item sd="0" x="48"/>
        <item sd="0" x="28"/>
        <item sd="0" x="96"/>
        <item sd="0" x="56"/>
        <item sd="0" x="22"/>
        <item x="60"/>
        <item x="2"/>
        <item x="13"/>
        <item x="58"/>
        <item x="82"/>
        <item x="6"/>
        <item x="75"/>
        <item x="87"/>
        <item x="30"/>
        <item x="68"/>
        <item x="49"/>
        <item x="14"/>
        <item x="91"/>
        <item x="71"/>
        <item x="29"/>
        <item x="26"/>
        <item x="95"/>
        <item x="57"/>
        <item x="83"/>
        <item x="34"/>
        <item x="85"/>
        <item x="43"/>
        <item x="70"/>
        <item x="92"/>
        <item x="69"/>
        <item x="10"/>
        <item x="7"/>
        <item x="63"/>
        <item x="35"/>
        <item x="16"/>
        <item x="86"/>
        <item x="52"/>
        <item x="77"/>
        <item x="21"/>
        <item x="89"/>
        <item x="11"/>
        <item x="53"/>
        <item x="42"/>
        <item x="74"/>
        <item x="44"/>
        <item x="36"/>
        <item x="78"/>
        <item x="5"/>
        <item x="54"/>
        <item x="65"/>
        <item x="25"/>
        <item x="17"/>
        <item x="33"/>
        <item x="40"/>
        <item x="27"/>
        <item x="9"/>
        <item x="80"/>
        <item x="59"/>
        <item x="94"/>
        <item x="3"/>
        <item x="61"/>
        <item x="0"/>
        <item x="73"/>
        <item x="15"/>
        <item x="31"/>
        <item x="88"/>
        <item x="41"/>
        <item x="81"/>
        <item x="20"/>
        <item x="45"/>
        <item x="50"/>
        <item x="4"/>
        <item x="90"/>
        <item x="39"/>
        <item x="64"/>
        <item x="55"/>
        <item x="18"/>
        <item x="72"/>
        <item x="23"/>
        <item x="93"/>
        <item x="51"/>
        <item x="1"/>
        <item x="47"/>
        <item x="84"/>
        <item x="32"/>
        <item x="8"/>
        <item x="76"/>
        <item x="38"/>
        <item x="24"/>
        <item x="66"/>
        <item x="79"/>
        <item x="19"/>
        <item x="12"/>
        <item x="46"/>
        <item x="62"/>
        <item x="37"/>
        <item t="default"/>
      </items>
    </pivotField>
    <pivotField axis="axisRow" showAll="0">
      <items count="5">
        <item x="2"/>
        <item x="1"/>
        <item x="0"/>
        <item x="3"/>
        <item t="default"/>
      </items>
    </pivotField>
    <pivotField showAll="0">
      <items count="24">
        <item x="3"/>
        <item x="7"/>
        <item x="14"/>
        <item sd="0" x="19"/>
        <item x="13"/>
        <item x="17"/>
        <item sd="0" x="21"/>
        <item x="18"/>
        <item x="0"/>
        <item x="15"/>
        <item x="11"/>
        <item x="20"/>
        <item x="16"/>
        <item x="5"/>
        <item x="8"/>
        <item x="1"/>
        <item x="4"/>
        <item x="10"/>
        <item x="2"/>
        <item x="12"/>
        <item x="22"/>
        <item x="6"/>
        <item x="9"/>
        <item t="default"/>
      </items>
    </pivotField>
    <pivotField showAll="0">
      <items count="49">
        <item x="15"/>
        <item x="11"/>
        <item x="23"/>
        <item x="1"/>
        <item x="18"/>
        <item x="37"/>
        <item x="9"/>
        <item x="17"/>
        <item x="12"/>
        <item x="3"/>
        <item x="24"/>
        <item x="4"/>
        <item x="30"/>
        <item x="7"/>
        <item x="28"/>
        <item x="21"/>
        <item x="0"/>
        <item x="33"/>
        <item x="27"/>
        <item x="19"/>
        <item x="13"/>
        <item x="25"/>
        <item x="29"/>
        <item x="34"/>
        <item x="36"/>
        <item x="5"/>
        <item x="41"/>
        <item x="10"/>
        <item x="8"/>
        <item x="35"/>
        <item x="20"/>
        <item x="40"/>
        <item x="44"/>
        <item x="2"/>
        <item x="39"/>
        <item x="31"/>
        <item x="22"/>
        <item x="43"/>
        <item x="14"/>
        <item x="45"/>
        <item x="26"/>
        <item x="38"/>
        <item x="32"/>
        <item x="42"/>
        <item x="47"/>
        <item x="6"/>
        <item x="46"/>
        <item x="16"/>
        <item t="default"/>
      </items>
    </pivotField>
    <pivotField showAll="0"/>
    <pivotField numFmtId="14" showAll="0">
      <items count="75">
        <item x="18"/>
        <item x="69"/>
        <item x="71"/>
        <item x="6"/>
        <item x="49"/>
        <item x="24"/>
        <item x="70"/>
        <item x="67"/>
        <item x="14"/>
        <item x="61"/>
        <item x="32"/>
        <item x="54"/>
        <item x="45"/>
        <item x="5"/>
        <item x="29"/>
        <item x="42"/>
        <item x="51"/>
        <item x="43"/>
        <item x="35"/>
        <item x="50"/>
        <item x="10"/>
        <item x="22"/>
        <item x="62"/>
        <item x="39"/>
        <item x="2"/>
        <item x="53"/>
        <item x="28"/>
        <item x="8"/>
        <item x="59"/>
        <item x="65"/>
        <item x="55"/>
        <item x="44"/>
        <item x="1"/>
        <item x="57"/>
        <item x="38"/>
        <item x="68"/>
        <item x="72"/>
        <item x="7"/>
        <item x="48"/>
        <item x="30"/>
        <item x="13"/>
        <item x="47"/>
        <item x="27"/>
        <item x="36"/>
        <item x="21"/>
        <item x="41"/>
        <item x="17"/>
        <item x="60"/>
        <item x="56"/>
        <item x="31"/>
        <item x="23"/>
        <item x="19"/>
        <item x="40"/>
        <item x="0"/>
        <item x="34"/>
        <item x="63"/>
        <item x="20"/>
        <item x="15"/>
        <item x="11"/>
        <item x="64"/>
        <item x="4"/>
        <item x="26"/>
        <item x="25"/>
        <item x="3"/>
        <item x="33"/>
        <item x="52"/>
        <item x="46"/>
        <item x="9"/>
        <item x="66"/>
        <item x="16"/>
        <item x="37"/>
        <item x="73"/>
        <item x="12"/>
        <item x="58"/>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2"/>
  </rowFields>
  <rowItems count="5">
    <i>
      <x/>
    </i>
    <i>
      <x v="1"/>
    </i>
    <i>
      <x v="2"/>
    </i>
    <i>
      <x v="3"/>
    </i>
    <i t="grand">
      <x/>
    </i>
  </rowItems>
  <colItems count="1">
    <i/>
  </colItems>
  <dataFields count="1">
    <dataField name="Count of EMP_ID" fld="0" subtotal="count" baseField="2" baseItem="0"/>
  </dataFields>
  <formats count="4">
    <format dxfId="16">
      <pivotArea dataOnly="0" labelOnly="1" outline="0" axis="axisValues" fieldPosition="0"/>
    </format>
    <format dxfId="15">
      <pivotArea field="2" type="button" dataOnly="0" labelOnly="1" outline="0" axis="axisRow" fieldPosition="0"/>
    </format>
    <format dxfId="14">
      <pivotArea field="2" type="button" dataOnly="0" labelOnly="1" outline="0" axis="axisRow"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837740-B8E6-4CA4-9EFF-6AEA47126B15}" sourceName="DEPARTMENT">
  <pivotTables>
    <pivotTable tabId="3" name="PivotTable2"/>
    <pivotTable tabId="3" name="PivotTable1"/>
    <pivotTable tabId="3" name="PivotTable3"/>
  </pivotTables>
  <data>
    <tabular pivotCacheId="14041900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BF528A65-F4AB-4908-B048-8AA40EEF7D1F}" sourceName="SALARY">
  <pivotTables>
    <pivotTable tabId="3" name="PivotTable2"/>
    <pivotTable tabId="3" name="PivotTable1"/>
    <pivotTable tabId="3" name="PivotTable3"/>
  </pivotTables>
  <data>
    <tabular pivotCacheId="1404190004">
      <items count="48">
        <i x="15" s="1"/>
        <i x="11" s="1"/>
        <i x="23" s="1"/>
        <i x="1" s="1"/>
        <i x="18" s="1"/>
        <i x="37" s="1"/>
        <i x="9" s="1"/>
        <i x="17" s="1"/>
        <i x="12" s="1"/>
        <i x="3" s="1"/>
        <i x="24" s="1"/>
        <i x="4" s="1"/>
        <i x="30" s="1"/>
        <i x="7" s="1"/>
        <i x="28" s="1"/>
        <i x="21" s="1"/>
        <i x="0" s="1"/>
        <i x="33" s="1"/>
        <i x="27" s="1"/>
        <i x="19" s="1"/>
        <i x="13" s="1"/>
        <i x="25" s="1"/>
        <i x="29" s="1"/>
        <i x="34" s="1"/>
        <i x="36" s="1"/>
        <i x="5" s="1"/>
        <i x="41" s="1"/>
        <i x="10" s="1"/>
        <i x="8" s="1"/>
        <i x="35" s="1"/>
        <i x="20" s="1"/>
        <i x="40" s="1"/>
        <i x="44" s="1"/>
        <i x="2" s="1"/>
        <i x="39" s="1"/>
        <i x="31" s="1"/>
        <i x="22" s="1"/>
        <i x="43" s="1"/>
        <i x="14" s="1"/>
        <i x="45" s="1"/>
        <i x="26" s="1"/>
        <i x="38" s="1"/>
        <i x="32" s="1"/>
        <i x="42" s="1"/>
        <i x="47" s="1"/>
        <i x="6" s="1"/>
        <i x="46"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6B5E19-58E6-4775-A866-0B7D13DA83E1}" cache="Slicer_DEPARTMENT" caption="DEPARTMENT" rowHeight="247650"/>
  <slicer name="SALARY" xr10:uid="{976F6852-0288-4C84-8E76-4C44CE650785}" cache="Slicer_SALARY" caption="SALARY" startItem="1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E231-AFA9-4513-BBD9-227E8A9308B1}">
  <sheetPr>
    <tabColor theme="7" tint="0.59999389629810485"/>
  </sheetPr>
  <dimension ref="A1:R101"/>
  <sheetViews>
    <sheetView workbookViewId="0">
      <pane ySplit="1" topLeftCell="A2" activePane="bottomLeft" state="frozen"/>
      <selection pane="bottomLeft" activeCell="C33" sqref="C33"/>
    </sheetView>
  </sheetViews>
  <sheetFormatPr defaultRowHeight="14.4" x14ac:dyDescent="0.3"/>
  <cols>
    <col min="1" max="1" width="9.21875" customWidth="1"/>
    <col min="2" max="3" width="15.21875" customWidth="1"/>
    <col min="4" max="4" width="19.77734375" customWidth="1"/>
    <col min="5" max="5" width="11.5546875" customWidth="1"/>
    <col min="6" max="6" width="13.33203125" customWidth="1"/>
    <col min="7" max="7" width="14.5546875" customWidth="1"/>
    <col min="8" max="8" width="13.44140625" customWidth="1"/>
    <col min="9" max="9" width="12.5546875" customWidth="1"/>
    <col min="10" max="10" width="2.5546875" customWidth="1"/>
    <col min="11" max="11" width="1.44140625" customWidth="1"/>
    <col min="12" max="12" width="16" customWidth="1"/>
    <col min="13" max="13" width="1.6640625" customWidth="1"/>
    <col min="14" max="14" width="15.109375" customWidth="1"/>
    <col min="15" max="15" width="2" customWidth="1"/>
    <col min="16" max="16" width="14.33203125" customWidth="1"/>
    <col min="17" max="17" width="1.5546875" customWidth="1"/>
    <col min="18" max="18" width="14.21875" customWidth="1"/>
  </cols>
  <sheetData>
    <row r="1" spans="1:18" ht="25.8" customHeight="1" x14ac:dyDescent="0.3">
      <c r="A1" s="5" t="s">
        <v>0</v>
      </c>
      <c r="B1" s="5" t="s">
        <v>1</v>
      </c>
      <c r="C1" s="5" t="s">
        <v>2</v>
      </c>
      <c r="D1" s="5" t="s">
        <v>3</v>
      </c>
      <c r="E1" s="5" t="s">
        <v>4</v>
      </c>
      <c r="F1" s="5" t="s">
        <v>5</v>
      </c>
      <c r="G1" s="5" t="s">
        <v>6</v>
      </c>
      <c r="H1" s="5" t="s">
        <v>7</v>
      </c>
      <c r="I1" s="5" t="s">
        <v>8</v>
      </c>
      <c r="L1" s="21"/>
      <c r="M1" s="22"/>
      <c r="N1" s="21"/>
      <c r="O1" s="22"/>
      <c r="P1" s="21"/>
      <c r="Q1" s="22"/>
      <c r="R1" s="21"/>
    </row>
    <row r="2" spans="1:18" ht="18" customHeight="1" x14ac:dyDescent="0.3">
      <c r="A2" s="2">
        <v>1</v>
      </c>
      <c r="B2" s="2" t="s">
        <v>9</v>
      </c>
      <c r="C2" s="2" t="s">
        <v>10</v>
      </c>
      <c r="D2" s="2" t="s">
        <v>11</v>
      </c>
      <c r="E2" s="2">
        <v>55000</v>
      </c>
      <c r="F2" s="2" t="s">
        <v>12</v>
      </c>
      <c r="G2" s="3">
        <v>44362</v>
      </c>
      <c r="H2" s="2">
        <v>3</v>
      </c>
      <c r="I2" s="2" t="s">
        <v>13</v>
      </c>
      <c r="L2" s="23"/>
      <c r="M2" s="22"/>
      <c r="N2" s="24"/>
      <c r="O2" s="22"/>
      <c r="P2" s="24"/>
      <c r="Q2" s="22"/>
      <c r="R2" s="24"/>
    </row>
    <row r="3" spans="1:18" x14ac:dyDescent="0.3">
      <c r="A3" s="2">
        <v>2</v>
      </c>
      <c r="B3" s="2" t="s">
        <v>14</v>
      </c>
      <c r="C3" s="2" t="s">
        <v>15</v>
      </c>
      <c r="D3" s="2" t="s">
        <v>16</v>
      </c>
      <c r="E3" s="2">
        <v>42000</v>
      </c>
      <c r="F3" s="2" t="s">
        <v>17</v>
      </c>
      <c r="G3" s="3">
        <v>43900</v>
      </c>
      <c r="H3" s="2">
        <v>4</v>
      </c>
      <c r="I3" s="2" t="s">
        <v>18</v>
      </c>
    </row>
    <row r="4" spans="1:18" x14ac:dyDescent="0.3">
      <c r="A4" s="2">
        <v>3</v>
      </c>
      <c r="B4" s="2" t="s">
        <v>19</v>
      </c>
      <c r="C4" s="2" t="s">
        <v>10</v>
      </c>
      <c r="D4" s="2" t="s">
        <v>20</v>
      </c>
      <c r="E4" s="2">
        <v>75000</v>
      </c>
      <c r="F4" s="2" t="s">
        <v>21</v>
      </c>
      <c r="G4" s="3">
        <v>43697</v>
      </c>
      <c r="H4" s="2">
        <v>6</v>
      </c>
      <c r="I4" s="2" t="s">
        <v>13</v>
      </c>
    </row>
    <row r="5" spans="1:18" x14ac:dyDescent="0.3">
      <c r="A5" s="2">
        <v>4</v>
      </c>
      <c r="B5" s="2" t="s">
        <v>22</v>
      </c>
      <c r="C5" s="2" t="s">
        <v>23</v>
      </c>
      <c r="D5" s="2" t="s">
        <v>24</v>
      </c>
      <c r="E5" s="2">
        <v>48000</v>
      </c>
      <c r="F5" s="2" t="s">
        <v>25</v>
      </c>
      <c r="G5" s="3">
        <v>44566</v>
      </c>
      <c r="H5" s="2">
        <v>2</v>
      </c>
      <c r="I5" s="2" t="s">
        <v>18</v>
      </c>
    </row>
    <row r="6" spans="1:18" x14ac:dyDescent="0.3">
      <c r="A6" s="2">
        <v>5</v>
      </c>
      <c r="B6" s="2" t="s">
        <v>26</v>
      </c>
      <c r="C6" s="2" t="s">
        <v>27</v>
      </c>
      <c r="D6" s="2" t="s">
        <v>28</v>
      </c>
      <c r="E6" s="2">
        <v>50000</v>
      </c>
      <c r="F6" s="2" t="s">
        <v>12</v>
      </c>
      <c r="G6" s="3">
        <v>44511</v>
      </c>
      <c r="H6" s="2">
        <v>3</v>
      </c>
      <c r="I6" s="2" t="s">
        <v>13</v>
      </c>
    </row>
    <row r="7" spans="1:18" x14ac:dyDescent="0.3">
      <c r="A7" s="2">
        <v>6</v>
      </c>
      <c r="B7" s="2" t="s">
        <v>29</v>
      </c>
      <c r="C7" s="2" t="s">
        <v>15</v>
      </c>
      <c r="D7" s="2" t="s">
        <v>30</v>
      </c>
      <c r="E7" s="2">
        <v>65000</v>
      </c>
      <c r="F7" s="2" t="s">
        <v>17</v>
      </c>
      <c r="G7" s="3">
        <v>43306</v>
      </c>
      <c r="H7" s="2">
        <v>7</v>
      </c>
      <c r="I7" s="2" t="s">
        <v>18</v>
      </c>
    </row>
    <row r="8" spans="1:18" x14ac:dyDescent="0.3">
      <c r="A8" s="2">
        <v>7</v>
      </c>
      <c r="B8" s="2" t="s">
        <v>31</v>
      </c>
      <c r="C8" s="2" t="s">
        <v>10</v>
      </c>
      <c r="D8" s="2" t="s">
        <v>32</v>
      </c>
      <c r="E8" s="2">
        <v>90000</v>
      </c>
      <c r="F8" s="2" t="s">
        <v>33</v>
      </c>
      <c r="G8" s="3">
        <v>42996</v>
      </c>
      <c r="H8" s="2">
        <v>8</v>
      </c>
      <c r="I8" s="2" t="s">
        <v>13</v>
      </c>
    </row>
    <row r="9" spans="1:18" x14ac:dyDescent="0.3">
      <c r="A9" s="2">
        <v>8</v>
      </c>
      <c r="B9" s="2" t="s">
        <v>34</v>
      </c>
      <c r="C9" s="2" t="s">
        <v>23</v>
      </c>
      <c r="D9" s="2" t="s">
        <v>35</v>
      </c>
      <c r="E9" s="2">
        <v>52000</v>
      </c>
      <c r="F9" s="2" t="s">
        <v>25</v>
      </c>
      <c r="G9" s="3">
        <v>43981</v>
      </c>
      <c r="H9" s="2">
        <v>4</v>
      </c>
      <c r="I9" s="2" t="s">
        <v>18</v>
      </c>
    </row>
    <row r="10" spans="1:18" x14ac:dyDescent="0.3">
      <c r="A10" s="2">
        <v>9</v>
      </c>
      <c r="B10" s="2" t="s">
        <v>36</v>
      </c>
      <c r="C10" s="2" t="s">
        <v>27</v>
      </c>
      <c r="D10" s="2" t="s">
        <v>37</v>
      </c>
      <c r="E10" s="2">
        <v>70000</v>
      </c>
      <c r="F10" s="2" t="s">
        <v>38</v>
      </c>
      <c r="G10" s="3">
        <v>43811</v>
      </c>
      <c r="H10" s="2">
        <v>5</v>
      </c>
      <c r="I10" s="2" t="s">
        <v>13</v>
      </c>
    </row>
    <row r="11" spans="1:18" x14ac:dyDescent="0.3">
      <c r="A11" s="2">
        <v>10</v>
      </c>
      <c r="B11" s="2" t="s">
        <v>39</v>
      </c>
      <c r="C11" s="2" t="s">
        <v>10</v>
      </c>
      <c r="D11" s="2" t="s">
        <v>40</v>
      </c>
      <c r="E11" s="2">
        <v>45000</v>
      </c>
      <c r="F11" s="2" t="s">
        <v>12</v>
      </c>
      <c r="G11" s="3">
        <v>44606</v>
      </c>
      <c r="H11" s="2">
        <v>2</v>
      </c>
      <c r="I11" s="2" t="s">
        <v>18</v>
      </c>
    </row>
    <row r="12" spans="1:18" x14ac:dyDescent="0.3">
      <c r="A12" s="2">
        <v>11</v>
      </c>
      <c r="B12" s="2" t="s">
        <v>41</v>
      </c>
      <c r="C12" s="2" t="s">
        <v>23</v>
      </c>
      <c r="D12" s="2" t="s">
        <v>42</v>
      </c>
      <c r="E12" s="2">
        <v>68000</v>
      </c>
      <c r="F12" s="2" t="s">
        <v>21</v>
      </c>
      <c r="G12" s="3">
        <v>43545</v>
      </c>
      <c r="H12" s="2">
        <v>6</v>
      </c>
      <c r="I12" s="2" t="s">
        <v>13</v>
      </c>
    </row>
    <row r="13" spans="1:18" x14ac:dyDescent="0.3">
      <c r="A13" s="2">
        <v>12</v>
      </c>
      <c r="B13" s="2" t="s">
        <v>43</v>
      </c>
      <c r="C13" s="2" t="s">
        <v>15</v>
      </c>
      <c r="D13" s="2" t="s">
        <v>44</v>
      </c>
      <c r="E13" s="2">
        <v>40000</v>
      </c>
      <c r="F13" s="2" t="s">
        <v>25</v>
      </c>
      <c r="G13" s="3">
        <v>44470</v>
      </c>
      <c r="H13" s="2">
        <v>3</v>
      </c>
      <c r="I13" s="2" t="s">
        <v>18</v>
      </c>
    </row>
    <row r="14" spans="1:18" x14ac:dyDescent="0.3">
      <c r="A14" s="2">
        <v>13</v>
      </c>
      <c r="B14" s="2" t="s">
        <v>45</v>
      </c>
      <c r="C14" s="2" t="s">
        <v>27</v>
      </c>
      <c r="D14" s="2" t="s">
        <v>44</v>
      </c>
      <c r="E14" s="2">
        <v>47000</v>
      </c>
      <c r="F14" s="2" t="s">
        <v>17</v>
      </c>
      <c r="G14" s="3">
        <v>44731</v>
      </c>
      <c r="H14" s="2">
        <v>2</v>
      </c>
      <c r="I14" s="2" t="s">
        <v>13</v>
      </c>
    </row>
    <row r="15" spans="1:18" x14ac:dyDescent="0.3">
      <c r="A15" s="2">
        <v>14</v>
      </c>
      <c r="B15" s="2" t="s">
        <v>46</v>
      </c>
      <c r="C15" s="2" t="s">
        <v>10</v>
      </c>
      <c r="D15" s="2" t="s">
        <v>11</v>
      </c>
      <c r="E15" s="2">
        <v>60000</v>
      </c>
      <c r="F15" s="2" t="s">
        <v>33</v>
      </c>
      <c r="G15" s="3">
        <v>44019</v>
      </c>
      <c r="H15" s="2">
        <v>5</v>
      </c>
      <c r="I15" s="2" t="s">
        <v>18</v>
      </c>
    </row>
    <row r="16" spans="1:18" x14ac:dyDescent="0.3">
      <c r="A16" s="2">
        <v>15</v>
      </c>
      <c r="B16" s="2" t="s">
        <v>47</v>
      </c>
      <c r="C16" s="2" t="s">
        <v>23</v>
      </c>
      <c r="D16" s="2" t="s">
        <v>37</v>
      </c>
      <c r="E16" s="2">
        <v>80000</v>
      </c>
      <c r="F16" s="2" t="s">
        <v>12</v>
      </c>
      <c r="G16" s="3">
        <v>43212</v>
      </c>
      <c r="H16" s="2">
        <v>7</v>
      </c>
      <c r="I16" s="2" t="s">
        <v>13</v>
      </c>
    </row>
    <row r="17" spans="1:9" x14ac:dyDescent="0.3">
      <c r="A17" s="2">
        <v>16</v>
      </c>
      <c r="B17" s="2" t="s">
        <v>48</v>
      </c>
      <c r="C17" s="2" t="s">
        <v>10</v>
      </c>
      <c r="D17" s="2" t="s">
        <v>49</v>
      </c>
      <c r="E17" s="2">
        <v>48000</v>
      </c>
      <c r="F17" s="2" t="s">
        <v>38</v>
      </c>
      <c r="G17" s="3">
        <v>44448</v>
      </c>
      <c r="H17" s="2">
        <v>3</v>
      </c>
      <c r="I17" s="2" t="s">
        <v>13</v>
      </c>
    </row>
    <row r="18" spans="1:9" x14ac:dyDescent="0.3">
      <c r="A18" s="2">
        <v>17</v>
      </c>
      <c r="B18" s="2" t="s">
        <v>50</v>
      </c>
      <c r="C18" s="2" t="s">
        <v>15</v>
      </c>
      <c r="D18" s="2" t="s">
        <v>51</v>
      </c>
      <c r="E18" s="2">
        <v>39000</v>
      </c>
      <c r="F18" s="2" t="s">
        <v>21</v>
      </c>
      <c r="G18" s="3">
        <v>44623</v>
      </c>
      <c r="H18" s="2">
        <v>2</v>
      </c>
      <c r="I18" s="2" t="s">
        <v>18</v>
      </c>
    </row>
    <row r="19" spans="1:9" x14ac:dyDescent="0.3">
      <c r="A19" s="2">
        <v>18</v>
      </c>
      <c r="B19" s="2" t="s">
        <v>52</v>
      </c>
      <c r="C19" s="2" t="s">
        <v>27</v>
      </c>
      <c r="D19" s="2" t="s">
        <v>28</v>
      </c>
      <c r="E19" s="2">
        <v>52000</v>
      </c>
      <c r="F19" s="2" t="s">
        <v>25</v>
      </c>
      <c r="G19" s="3">
        <v>44177</v>
      </c>
      <c r="H19" s="2">
        <v>4</v>
      </c>
      <c r="I19" s="2" t="s">
        <v>13</v>
      </c>
    </row>
    <row r="20" spans="1:9" x14ac:dyDescent="0.3">
      <c r="A20" s="2">
        <v>19</v>
      </c>
      <c r="B20" s="2" t="s">
        <v>53</v>
      </c>
      <c r="C20" s="2" t="s">
        <v>10</v>
      </c>
      <c r="D20" s="2" t="s">
        <v>54</v>
      </c>
      <c r="E20" s="2">
        <v>95000</v>
      </c>
      <c r="F20" s="2" t="s">
        <v>33</v>
      </c>
      <c r="G20" s="3">
        <v>42685</v>
      </c>
      <c r="H20" s="2">
        <v>9</v>
      </c>
      <c r="I20" s="2" t="s">
        <v>18</v>
      </c>
    </row>
    <row r="21" spans="1:9" x14ac:dyDescent="0.3">
      <c r="A21" s="2">
        <v>20</v>
      </c>
      <c r="B21" s="2" t="s">
        <v>55</v>
      </c>
      <c r="C21" s="2" t="s">
        <v>23</v>
      </c>
      <c r="D21" s="2" t="s">
        <v>24</v>
      </c>
      <c r="E21" s="2">
        <v>46000</v>
      </c>
      <c r="F21" s="2" t="s">
        <v>17</v>
      </c>
      <c r="G21" s="3">
        <v>44321</v>
      </c>
      <c r="H21" s="2">
        <v>3</v>
      </c>
      <c r="I21" s="2" t="s">
        <v>13</v>
      </c>
    </row>
    <row r="22" spans="1:9" x14ac:dyDescent="0.3">
      <c r="A22" s="2">
        <v>21</v>
      </c>
      <c r="B22" s="2" t="s">
        <v>56</v>
      </c>
      <c r="C22" s="2" t="s">
        <v>15</v>
      </c>
      <c r="D22" s="2" t="s">
        <v>16</v>
      </c>
      <c r="E22" s="2">
        <v>43000</v>
      </c>
      <c r="F22" s="2" t="s">
        <v>12</v>
      </c>
      <c r="G22" s="3">
        <v>44426</v>
      </c>
      <c r="H22" s="2">
        <v>3</v>
      </c>
      <c r="I22" s="2" t="s">
        <v>18</v>
      </c>
    </row>
    <row r="23" spans="1:9" x14ac:dyDescent="0.3">
      <c r="A23" s="2">
        <v>22</v>
      </c>
      <c r="B23" s="2" t="s">
        <v>57</v>
      </c>
      <c r="C23" s="2" t="s">
        <v>10</v>
      </c>
      <c r="D23" s="2" t="s">
        <v>11</v>
      </c>
      <c r="E23" s="2">
        <v>58000</v>
      </c>
      <c r="F23" s="2" t="s">
        <v>21</v>
      </c>
      <c r="G23" s="3">
        <v>44114</v>
      </c>
      <c r="H23" s="2">
        <v>5</v>
      </c>
      <c r="I23" s="2" t="s">
        <v>13</v>
      </c>
    </row>
    <row r="24" spans="1:9" x14ac:dyDescent="0.3">
      <c r="A24" s="2">
        <v>23</v>
      </c>
      <c r="B24" s="2" t="s">
        <v>58</v>
      </c>
      <c r="C24" s="2" t="s">
        <v>27</v>
      </c>
      <c r="D24" s="2" t="s">
        <v>37</v>
      </c>
      <c r="E24" s="2">
        <v>72000</v>
      </c>
      <c r="F24" s="2" t="s">
        <v>33</v>
      </c>
      <c r="G24" s="3">
        <v>43622</v>
      </c>
      <c r="H24" s="2">
        <v>6</v>
      </c>
      <c r="I24" s="2" t="s">
        <v>13</v>
      </c>
    </row>
    <row r="25" spans="1:9" x14ac:dyDescent="0.3">
      <c r="A25" s="2">
        <v>24</v>
      </c>
      <c r="B25" s="2" t="s">
        <v>59</v>
      </c>
      <c r="C25" s="2" t="s">
        <v>23</v>
      </c>
      <c r="D25" s="2" t="s">
        <v>35</v>
      </c>
      <c r="E25" s="2">
        <v>54000</v>
      </c>
      <c r="F25" s="2" t="s">
        <v>25</v>
      </c>
      <c r="G25" s="3">
        <v>44290</v>
      </c>
      <c r="H25" s="2">
        <v>3</v>
      </c>
      <c r="I25" s="2" t="s">
        <v>18</v>
      </c>
    </row>
    <row r="26" spans="1:9" x14ac:dyDescent="0.3">
      <c r="A26" s="2">
        <v>25</v>
      </c>
      <c r="B26" s="2" t="s">
        <v>60</v>
      </c>
      <c r="C26" s="2" t="s">
        <v>10</v>
      </c>
      <c r="D26" s="2" t="s">
        <v>61</v>
      </c>
      <c r="E26" s="2">
        <v>78000</v>
      </c>
      <c r="F26" s="2" t="s">
        <v>38</v>
      </c>
      <c r="G26" s="3">
        <v>43133</v>
      </c>
      <c r="H26" s="2">
        <v>7</v>
      </c>
      <c r="I26" s="2" t="s">
        <v>13</v>
      </c>
    </row>
    <row r="27" spans="1:9" x14ac:dyDescent="0.3">
      <c r="A27" s="2">
        <v>26</v>
      </c>
      <c r="B27" s="2" t="s">
        <v>62</v>
      </c>
      <c r="C27" s="2" t="s">
        <v>15</v>
      </c>
      <c r="D27" s="2" t="s">
        <v>63</v>
      </c>
      <c r="E27" s="2">
        <v>41000</v>
      </c>
      <c r="F27" s="2" t="s">
        <v>17</v>
      </c>
      <c r="G27" s="3">
        <v>44562</v>
      </c>
      <c r="H27" s="2">
        <v>2</v>
      </c>
      <c r="I27" s="2" t="s">
        <v>18</v>
      </c>
    </row>
    <row r="28" spans="1:9" x14ac:dyDescent="0.3">
      <c r="A28" s="2">
        <v>27</v>
      </c>
      <c r="B28" s="2" t="s">
        <v>64</v>
      </c>
      <c r="C28" s="2" t="s">
        <v>27</v>
      </c>
      <c r="D28" s="2" t="s">
        <v>44</v>
      </c>
      <c r="E28" s="2">
        <v>49000</v>
      </c>
      <c r="F28" s="2" t="s">
        <v>12</v>
      </c>
      <c r="G28" s="3">
        <v>44542</v>
      </c>
      <c r="H28" s="2">
        <v>3</v>
      </c>
      <c r="I28" s="2" t="s">
        <v>13</v>
      </c>
    </row>
    <row r="29" spans="1:9" x14ac:dyDescent="0.3">
      <c r="A29" s="2">
        <v>28</v>
      </c>
      <c r="B29" s="2" t="s">
        <v>65</v>
      </c>
      <c r="C29" s="2" t="s">
        <v>23</v>
      </c>
      <c r="D29" s="2" t="s">
        <v>24</v>
      </c>
      <c r="E29" s="2">
        <v>47000</v>
      </c>
      <c r="F29" s="2" t="s">
        <v>21</v>
      </c>
      <c r="G29" s="3">
        <v>44083</v>
      </c>
      <c r="H29" s="2">
        <v>4</v>
      </c>
      <c r="I29" s="2" t="s">
        <v>18</v>
      </c>
    </row>
    <row r="30" spans="1:9" x14ac:dyDescent="0.3">
      <c r="A30" s="2">
        <v>29</v>
      </c>
      <c r="B30" s="2" t="s">
        <v>66</v>
      </c>
      <c r="C30" s="2" t="s">
        <v>10</v>
      </c>
      <c r="D30" s="2" t="s">
        <v>11</v>
      </c>
      <c r="E30" s="2">
        <v>61000</v>
      </c>
      <c r="F30" s="2" t="s">
        <v>25</v>
      </c>
      <c r="G30" s="3">
        <v>43780</v>
      </c>
      <c r="H30" s="2">
        <v>6</v>
      </c>
      <c r="I30" s="2" t="s">
        <v>13</v>
      </c>
    </row>
    <row r="31" spans="1:9" x14ac:dyDescent="0.3">
      <c r="A31" s="2">
        <v>30</v>
      </c>
      <c r="B31" s="2" t="s">
        <v>67</v>
      </c>
      <c r="C31" s="2" t="s">
        <v>15</v>
      </c>
      <c r="D31" s="2" t="s">
        <v>37</v>
      </c>
      <c r="E31" s="2">
        <v>70000</v>
      </c>
      <c r="F31" s="2" t="s">
        <v>33</v>
      </c>
      <c r="G31" s="3">
        <v>43320</v>
      </c>
      <c r="H31" s="2">
        <v>7</v>
      </c>
      <c r="I31" s="2" t="s">
        <v>18</v>
      </c>
    </row>
    <row r="32" spans="1:9" x14ac:dyDescent="0.3">
      <c r="A32" s="2">
        <v>31</v>
      </c>
      <c r="B32" s="2" t="s">
        <v>68</v>
      </c>
      <c r="C32" s="2" t="s">
        <v>10</v>
      </c>
      <c r="D32" s="2" t="s">
        <v>69</v>
      </c>
      <c r="E32" s="2">
        <v>65000</v>
      </c>
      <c r="F32" s="2" t="s">
        <v>12</v>
      </c>
      <c r="G32" s="3">
        <v>43992</v>
      </c>
      <c r="H32" s="2">
        <v>5</v>
      </c>
      <c r="I32" s="2" t="s">
        <v>18</v>
      </c>
    </row>
    <row r="33" spans="1:9" x14ac:dyDescent="0.3">
      <c r="A33" s="2">
        <v>32</v>
      </c>
      <c r="B33" s="2" t="s">
        <v>70</v>
      </c>
      <c r="C33" s="2" t="s">
        <v>27</v>
      </c>
      <c r="D33" s="2" t="s">
        <v>44</v>
      </c>
      <c r="E33" s="2">
        <v>48000</v>
      </c>
      <c r="F33" s="2" t="s">
        <v>17</v>
      </c>
      <c r="G33" s="3">
        <v>44267</v>
      </c>
      <c r="H33" s="2">
        <v>3</v>
      </c>
      <c r="I33" s="2" t="s">
        <v>13</v>
      </c>
    </row>
    <row r="34" spans="1:9" x14ac:dyDescent="0.3">
      <c r="A34" s="2">
        <v>33</v>
      </c>
      <c r="B34" s="2" t="s">
        <v>71</v>
      </c>
      <c r="C34" s="2" t="s">
        <v>23</v>
      </c>
      <c r="D34" s="2" t="s">
        <v>37</v>
      </c>
      <c r="E34" s="2">
        <v>82000</v>
      </c>
      <c r="F34" s="2" t="s">
        <v>25</v>
      </c>
      <c r="G34" s="3">
        <v>43240</v>
      </c>
      <c r="H34" s="2">
        <v>7</v>
      </c>
      <c r="I34" s="2" t="s">
        <v>13</v>
      </c>
    </row>
    <row r="35" spans="1:9" x14ac:dyDescent="0.3">
      <c r="A35" s="2">
        <v>34</v>
      </c>
      <c r="B35" s="2" t="s">
        <v>72</v>
      </c>
      <c r="C35" s="2" t="s">
        <v>15</v>
      </c>
      <c r="D35" s="2" t="s">
        <v>16</v>
      </c>
      <c r="E35" s="2">
        <v>42000</v>
      </c>
      <c r="F35" s="2" t="s">
        <v>21</v>
      </c>
      <c r="G35" s="3">
        <v>44576</v>
      </c>
      <c r="H35" s="2">
        <v>2</v>
      </c>
      <c r="I35" s="2" t="s">
        <v>18</v>
      </c>
    </row>
    <row r="36" spans="1:9" x14ac:dyDescent="0.3">
      <c r="A36" s="2">
        <v>35</v>
      </c>
      <c r="B36" s="2" t="s">
        <v>73</v>
      </c>
      <c r="C36" s="2" t="s">
        <v>10</v>
      </c>
      <c r="D36" s="2" t="s">
        <v>11</v>
      </c>
      <c r="E36" s="2">
        <v>57000</v>
      </c>
      <c r="F36" s="2" t="s">
        <v>33</v>
      </c>
      <c r="G36" s="3">
        <v>44384</v>
      </c>
      <c r="H36" s="2">
        <v>4</v>
      </c>
      <c r="I36" s="2" t="s">
        <v>13</v>
      </c>
    </row>
    <row r="37" spans="1:9" x14ac:dyDescent="0.3">
      <c r="A37" s="2">
        <v>36</v>
      </c>
      <c r="B37" s="2" t="s">
        <v>74</v>
      </c>
      <c r="C37" s="2" t="s">
        <v>27</v>
      </c>
      <c r="D37" s="2" t="s">
        <v>37</v>
      </c>
      <c r="E37" s="2">
        <v>75000</v>
      </c>
      <c r="F37" s="2" t="s">
        <v>38</v>
      </c>
      <c r="G37" s="3">
        <v>43514</v>
      </c>
      <c r="H37" s="2">
        <v>6</v>
      </c>
      <c r="I37" s="2" t="s">
        <v>13</v>
      </c>
    </row>
    <row r="38" spans="1:9" x14ac:dyDescent="0.3">
      <c r="A38" s="2">
        <v>37</v>
      </c>
      <c r="B38" s="2" t="s">
        <v>75</v>
      </c>
      <c r="C38" s="2" t="s">
        <v>23</v>
      </c>
      <c r="D38" s="2" t="s">
        <v>35</v>
      </c>
      <c r="E38" s="2">
        <v>53000</v>
      </c>
      <c r="F38" s="2" t="s">
        <v>12</v>
      </c>
      <c r="G38" s="3">
        <v>44099</v>
      </c>
      <c r="H38" s="2">
        <v>4</v>
      </c>
      <c r="I38" s="2" t="s">
        <v>18</v>
      </c>
    </row>
    <row r="39" spans="1:9" x14ac:dyDescent="0.3">
      <c r="A39" s="2">
        <v>38</v>
      </c>
      <c r="B39" s="2" t="s">
        <v>76</v>
      </c>
      <c r="C39" s="2" t="s">
        <v>10</v>
      </c>
      <c r="D39" s="2" t="s">
        <v>40</v>
      </c>
      <c r="E39" s="2">
        <v>46000</v>
      </c>
      <c r="F39" s="2" t="s">
        <v>25</v>
      </c>
      <c r="G39" s="3">
        <v>44650</v>
      </c>
      <c r="H39" s="2">
        <v>2</v>
      </c>
      <c r="I39" s="2" t="s">
        <v>13</v>
      </c>
    </row>
    <row r="40" spans="1:9" x14ac:dyDescent="0.3">
      <c r="A40" s="2">
        <v>39</v>
      </c>
      <c r="B40" s="2" t="s">
        <v>77</v>
      </c>
      <c r="C40" s="2" t="s">
        <v>15</v>
      </c>
      <c r="D40" s="2" t="s">
        <v>51</v>
      </c>
      <c r="E40" s="2">
        <v>40000</v>
      </c>
      <c r="F40" s="2" t="s">
        <v>17</v>
      </c>
      <c r="G40" s="3">
        <v>44511</v>
      </c>
      <c r="H40" s="2">
        <v>3</v>
      </c>
      <c r="I40" s="2" t="s">
        <v>18</v>
      </c>
    </row>
    <row r="41" spans="1:9" x14ac:dyDescent="0.3">
      <c r="A41" s="2">
        <v>40</v>
      </c>
      <c r="B41" s="2" t="s">
        <v>78</v>
      </c>
      <c r="C41" s="2" t="s">
        <v>27</v>
      </c>
      <c r="D41" s="2" t="s">
        <v>44</v>
      </c>
      <c r="E41" s="2">
        <v>50000</v>
      </c>
      <c r="F41" s="2" t="s">
        <v>21</v>
      </c>
      <c r="G41" s="3">
        <v>43935</v>
      </c>
      <c r="H41" s="2">
        <v>5</v>
      </c>
      <c r="I41" s="2" t="s">
        <v>13</v>
      </c>
    </row>
    <row r="42" spans="1:9" x14ac:dyDescent="0.3">
      <c r="A42" s="2">
        <v>41</v>
      </c>
      <c r="B42" s="2" t="s">
        <v>79</v>
      </c>
      <c r="C42" s="2" t="s">
        <v>10</v>
      </c>
      <c r="D42" s="2" t="s">
        <v>11</v>
      </c>
      <c r="E42" s="2">
        <v>62000</v>
      </c>
      <c r="F42" s="2" t="s">
        <v>38</v>
      </c>
      <c r="G42" s="3">
        <v>43685</v>
      </c>
      <c r="H42" s="2">
        <v>6</v>
      </c>
      <c r="I42" s="2" t="s">
        <v>13</v>
      </c>
    </row>
    <row r="43" spans="1:9" x14ac:dyDescent="0.3">
      <c r="A43" s="2">
        <v>42</v>
      </c>
      <c r="B43" s="2" t="s">
        <v>80</v>
      </c>
      <c r="C43" s="2" t="s">
        <v>23</v>
      </c>
      <c r="D43" s="2" t="s">
        <v>24</v>
      </c>
      <c r="E43" s="2">
        <v>48000</v>
      </c>
      <c r="F43" s="2" t="s">
        <v>33</v>
      </c>
      <c r="G43" s="3">
        <v>44353</v>
      </c>
      <c r="H43" s="2">
        <v>3</v>
      </c>
      <c r="I43" s="2" t="s">
        <v>18</v>
      </c>
    </row>
    <row r="44" spans="1:9" x14ac:dyDescent="0.3">
      <c r="A44" s="2">
        <v>43</v>
      </c>
      <c r="B44" s="2" t="s">
        <v>81</v>
      </c>
      <c r="C44" s="2" t="s">
        <v>27</v>
      </c>
      <c r="D44" s="2" t="s">
        <v>44</v>
      </c>
      <c r="E44" s="2">
        <v>51000</v>
      </c>
      <c r="F44" s="2" t="s">
        <v>25</v>
      </c>
      <c r="G44" s="3">
        <v>44166</v>
      </c>
      <c r="H44" s="2">
        <v>4</v>
      </c>
      <c r="I44" s="2" t="s">
        <v>13</v>
      </c>
    </row>
    <row r="45" spans="1:9" x14ac:dyDescent="0.3">
      <c r="A45" s="2">
        <v>44</v>
      </c>
      <c r="B45" s="2" t="s">
        <v>82</v>
      </c>
      <c r="C45" s="2" t="s">
        <v>15</v>
      </c>
      <c r="D45" s="2" t="s">
        <v>37</v>
      </c>
      <c r="E45" s="2">
        <v>72000</v>
      </c>
      <c r="F45" s="2" t="s">
        <v>12</v>
      </c>
      <c r="G45" s="3">
        <v>43383</v>
      </c>
      <c r="H45" s="2">
        <v>7</v>
      </c>
      <c r="I45" s="2" t="s">
        <v>18</v>
      </c>
    </row>
    <row r="46" spans="1:9" x14ac:dyDescent="0.3">
      <c r="A46" s="2">
        <v>45</v>
      </c>
      <c r="B46" s="2" t="s">
        <v>83</v>
      </c>
      <c r="C46" s="2" t="s">
        <v>10</v>
      </c>
      <c r="D46" s="2" t="s">
        <v>61</v>
      </c>
      <c r="E46" s="2">
        <v>80000</v>
      </c>
      <c r="F46" s="2" t="s">
        <v>17</v>
      </c>
      <c r="G46" s="3">
        <v>43466</v>
      </c>
      <c r="H46" s="2">
        <v>6</v>
      </c>
      <c r="I46" s="2" t="s">
        <v>13</v>
      </c>
    </row>
    <row r="47" spans="1:9" x14ac:dyDescent="0.3">
      <c r="A47" s="2">
        <v>46</v>
      </c>
      <c r="B47" s="2" t="s">
        <v>84</v>
      </c>
      <c r="C47" s="2" t="s">
        <v>23</v>
      </c>
      <c r="D47" s="2" t="s">
        <v>35</v>
      </c>
      <c r="E47" s="2">
        <v>55000</v>
      </c>
      <c r="F47" s="2" t="s">
        <v>21</v>
      </c>
      <c r="G47" s="3">
        <v>43893</v>
      </c>
      <c r="H47" s="2">
        <v>5</v>
      </c>
      <c r="I47" s="2" t="s">
        <v>18</v>
      </c>
    </row>
    <row r="48" spans="1:9" x14ac:dyDescent="0.3">
      <c r="A48" s="2">
        <v>47</v>
      </c>
      <c r="B48" s="2" t="s">
        <v>85</v>
      </c>
      <c r="C48" s="2" t="s">
        <v>27</v>
      </c>
      <c r="D48" s="2" t="s">
        <v>37</v>
      </c>
      <c r="E48" s="2">
        <v>77000</v>
      </c>
      <c r="F48" s="2" t="s">
        <v>33</v>
      </c>
      <c r="G48" s="3">
        <v>43288</v>
      </c>
      <c r="H48" s="2">
        <v>7</v>
      </c>
      <c r="I48" s="2" t="s">
        <v>13</v>
      </c>
    </row>
    <row r="49" spans="1:9" x14ac:dyDescent="0.3">
      <c r="A49" s="2">
        <v>48</v>
      </c>
      <c r="B49" s="2" t="s">
        <v>86</v>
      </c>
      <c r="C49" s="2" t="s">
        <v>15</v>
      </c>
      <c r="D49" s="2" t="s">
        <v>44</v>
      </c>
      <c r="E49" s="2">
        <v>41000</v>
      </c>
      <c r="F49" s="2" t="s">
        <v>25</v>
      </c>
      <c r="G49" s="3">
        <v>44594</v>
      </c>
      <c r="H49" s="2">
        <v>2</v>
      </c>
      <c r="I49" s="2" t="s">
        <v>18</v>
      </c>
    </row>
    <row r="50" spans="1:9" x14ac:dyDescent="0.3">
      <c r="A50" s="2">
        <v>49</v>
      </c>
      <c r="B50" s="2" t="s">
        <v>87</v>
      </c>
      <c r="C50" s="2" t="s">
        <v>10</v>
      </c>
      <c r="D50" s="2" t="s">
        <v>49</v>
      </c>
      <c r="E50" s="2">
        <v>49000</v>
      </c>
      <c r="F50" s="2" t="s">
        <v>12</v>
      </c>
      <c r="G50" s="3">
        <v>44321</v>
      </c>
      <c r="H50" s="2">
        <v>3</v>
      </c>
      <c r="I50" s="2" t="s">
        <v>13</v>
      </c>
    </row>
    <row r="51" spans="1:9" x14ac:dyDescent="0.3">
      <c r="A51" s="2">
        <v>50</v>
      </c>
      <c r="B51" s="2" t="s">
        <v>88</v>
      </c>
      <c r="C51" s="2" t="s">
        <v>23</v>
      </c>
      <c r="D51" s="2" t="s">
        <v>24</v>
      </c>
      <c r="E51" s="2">
        <v>47000</v>
      </c>
      <c r="F51" s="2" t="s">
        <v>38</v>
      </c>
      <c r="G51" s="3">
        <v>44448</v>
      </c>
      <c r="H51" s="2">
        <v>3</v>
      </c>
      <c r="I51" s="2" t="s">
        <v>18</v>
      </c>
    </row>
    <row r="52" spans="1:9" x14ac:dyDescent="0.3">
      <c r="A52" s="2">
        <v>51</v>
      </c>
      <c r="B52" s="2" t="s">
        <v>89</v>
      </c>
      <c r="C52" s="2" t="s">
        <v>10</v>
      </c>
      <c r="D52" s="2" t="s">
        <v>11</v>
      </c>
      <c r="E52" s="2">
        <v>60000</v>
      </c>
      <c r="F52" s="2" t="s">
        <v>21</v>
      </c>
      <c r="G52" s="3">
        <v>44051</v>
      </c>
      <c r="H52" s="2">
        <v>5</v>
      </c>
      <c r="I52" s="2" t="s">
        <v>13</v>
      </c>
    </row>
    <row r="53" spans="1:9" x14ac:dyDescent="0.3">
      <c r="A53" s="2">
        <v>52</v>
      </c>
      <c r="B53" s="2" t="s">
        <v>90</v>
      </c>
      <c r="C53" s="2" t="s">
        <v>15</v>
      </c>
      <c r="D53" s="2" t="s">
        <v>16</v>
      </c>
      <c r="E53" s="2">
        <v>43000</v>
      </c>
      <c r="F53" s="2" t="s">
        <v>33</v>
      </c>
      <c r="G53" s="3">
        <v>44290</v>
      </c>
      <c r="H53" s="2">
        <v>3</v>
      </c>
      <c r="I53" s="2" t="s">
        <v>18</v>
      </c>
    </row>
    <row r="54" spans="1:9" x14ac:dyDescent="0.3">
      <c r="A54" s="2">
        <v>53</v>
      </c>
      <c r="B54" s="2" t="s">
        <v>91</v>
      </c>
      <c r="C54" s="2" t="s">
        <v>27</v>
      </c>
      <c r="D54" s="2" t="s">
        <v>44</v>
      </c>
      <c r="E54" s="2">
        <v>52000</v>
      </c>
      <c r="F54" s="2" t="s">
        <v>12</v>
      </c>
      <c r="G54" s="3">
        <v>43988</v>
      </c>
      <c r="H54" s="2">
        <v>4</v>
      </c>
      <c r="I54" s="2" t="s">
        <v>13</v>
      </c>
    </row>
    <row r="55" spans="1:9" x14ac:dyDescent="0.3">
      <c r="A55" s="2">
        <v>54</v>
      </c>
      <c r="B55" s="2" t="s">
        <v>92</v>
      </c>
      <c r="C55" s="2" t="s">
        <v>23</v>
      </c>
      <c r="D55" s="2" t="s">
        <v>37</v>
      </c>
      <c r="E55" s="2">
        <v>85000</v>
      </c>
      <c r="F55" s="2" t="s">
        <v>17</v>
      </c>
      <c r="G55" s="3">
        <v>43081</v>
      </c>
      <c r="H55" s="2">
        <v>8</v>
      </c>
      <c r="I55" s="2" t="s">
        <v>13</v>
      </c>
    </row>
    <row r="56" spans="1:9" x14ac:dyDescent="0.3">
      <c r="A56" s="2">
        <v>55</v>
      </c>
      <c r="B56" s="2" t="s">
        <v>93</v>
      </c>
      <c r="C56" s="2" t="s">
        <v>10</v>
      </c>
      <c r="D56" s="2" t="s">
        <v>94</v>
      </c>
      <c r="E56" s="2">
        <v>90000</v>
      </c>
      <c r="F56" s="2" t="s">
        <v>25</v>
      </c>
      <c r="G56" s="3">
        <v>43527</v>
      </c>
      <c r="H56" s="2">
        <v>6</v>
      </c>
      <c r="I56" s="2" t="s">
        <v>18</v>
      </c>
    </row>
    <row r="57" spans="1:9" x14ac:dyDescent="0.3">
      <c r="A57" s="2">
        <v>56</v>
      </c>
      <c r="B57" s="2" t="s">
        <v>95</v>
      </c>
      <c r="C57" s="2" t="s">
        <v>27</v>
      </c>
      <c r="D57" s="2" t="s">
        <v>37</v>
      </c>
      <c r="E57" s="2">
        <v>78000</v>
      </c>
      <c r="F57" s="2" t="s">
        <v>21</v>
      </c>
      <c r="G57" s="3">
        <v>43415</v>
      </c>
      <c r="H57" s="2">
        <v>7</v>
      </c>
      <c r="I57" s="2" t="s">
        <v>13</v>
      </c>
    </row>
    <row r="58" spans="1:9" x14ac:dyDescent="0.3">
      <c r="A58" s="2">
        <v>57</v>
      </c>
      <c r="B58" s="2" t="s">
        <v>96</v>
      </c>
      <c r="C58" s="2" t="s">
        <v>15</v>
      </c>
      <c r="D58" s="2" t="s">
        <v>51</v>
      </c>
      <c r="E58" s="2">
        <v>39000</v>
      </c>
      <c r="F58" s="2" t="s">
        <v>38</v>
      </c>
      <c r="G58" s="3">
        <v>44581</v>
      </c>
      <c r="H58" s="2">
        <v>2</v>
      </c>
      <c r="I58" s="2" t="s">
        <v>18</v>
      </c>
    </row>
    <row r="59" spans="1:9" x14ac:dyDescent="0.3">
      <c r="A59" s="2">
        <v>58</v>
      </c>
      <c r="B59" s="2" t="s">
        <v>97</v>
      </c>
      <c r="C59" s="2" t="s">
        <v>23</v>
      </c>
      <c r="D59" s="2" t="s">
        <v>35</v>
      </c>
      <c r="E59" s="2">
        <v>56000</v>
      </c>
      <c r="F59" s="2" t="s">
        <v>12</v>
      </c>
      <c r="G59" s="3">
        <v>44114</v>
      </c>
      <c r="H59" s="2">
        <v>5</v>
      </c>
      <c r="I59" s="2" t="s">
        <v>13</v>
      </c>
    </row>
    <row r="60" spans="1:9" x14ac:dyDescent="0.3">
      <c r="A60" s="2">
        <v>59</v>
      </c>
      <c r="B60" s="2" t="s">
        <v>98</v>
      </c>
      <c r="C60" s="2" t="s">
        <v>10</v>
      </c>
      <c r="D60" s="2" t="s">
        <v>11</v>
      </c>
      <c r="E60" s="2">
        <v>63000</v>
      </c>
      <c r="F60" s="2" t="s">
        <v>33</v>
      </c>
      <c r="G60" s="3">
        <v>43717</v>
      </c>
      <c r="H60" s="2">
        <v>6</v>
      </c>
      <c r="I60" s="2" t="s">
        <v>13</v>
      </c>
    </row>
    <row r="61" spans="1:9" x14ac:dyDescent="0.3">
      <c r="A61" s="2">
        <v>60</v>
      </c>
      <c r="B61" s="2" t="s">
        <v>99</v>
      </c>
      <c r="C61" s="2" t="s">
        <v>15</v>
      </c>
      <c r="D61" s="2" t="s">
        <v>37</v>
      </c>
      <c r="E61" s="2">
        <v>71000</v>
      </c>
      <c r="F61" s="2" t="s">
        <v>17</v>
      </c>
      <c r="G61" s="3">
        <v>43257</v>
      </c>
      <c r="H61" s="2">
        <v>7</v>
      </c>
      <c r="I61" s="2" t="s">
        <v>18</v>
      </c>
    </row>
    <row r="62" spans="1:9" x14ac:dyDescent="0.3">
      <c r="A62" s="2">
        <v>61</v>
      </c>
      <c r="B62" s="2" t="s">
        <v>100</v>
      </c>
      <c r="C62" s="2" t="s">
        <v>10</v>
      </c>
      <c r="D62" s="2" t="s">
        <v>101</v>
      </c>
      <c r="E62" s="2">
        <v>64000</v>
      </c>
      <c r="F62" s="2" t="s">
        <v>12</v>
      </c>
      <c r="G62" s="3">
        <v>43863</v>
      </c>
      <c r="H62" s="2">
        <v>5</v>
      </c>
      <c r="I62" s="2" t="s">
        <v>13</v>
      </c>
    </row>
    <row r="63" spans="1:9" x14ac:dyDescent="0.3">
      <c r="A63" s="2">
        <v>62</v>
      </c>
      <c r="B63" s="2" t="s">
        <v>102</v>
      </c>
      <c r="C63" s="2" t="s">
        <v>15</v>
      </c>
      <c r="D63" s="2" t="s">
        <v>16</v>
      </c>
      <c r="E63" s="2">
        <v>44000</v>
      </c>
      <c r="F63" s="2" t="s">
        <v>25</v>
      </c>
      <c r="G63" s="3">
        <v>44258</v>
      </c>
      <c r="H63" s="2">
        <v>3</v>
      </c>
      <c r="I63" s="2" t="s">
        <v>18</v>
      </c>
    </row>
    <row r="64" spans="1:9" x14ac:dyDescent="0.3">
      <c r="A64" s="2">
        <v>63</v>
      </c>
      <c r="B64" s="2" t="s">
        <v>103</v>
      </c>
      <c r="C64" s="2" t="s">
        <v>23</v>
      </c>
      <c r="D64" s="2" t="s">
        <v>35</v>
      </c>
      <c r="E64" s="2">
        <v>57000</v>
      </c>
      <c r="F64" s="2" t="s">
        <v>17</v>
      </c>
      <c r="G64" s="3">
        <v>43925</v>
      </c>
      <c r="H64" s="2">
        <v>4</v>
      </c>
      <c r="I64" s="2" t="s">
        <v>13</v>
      </c>
    </row>
    <row r="65" spans="1:9" x14ac:dyDescent="0.3">
      <c r="A65" s="2">
        <v>64</v>
      </c>
      <c r="B65" s="2" t="s">
        <v>39</v>
      </c>
      <c r="C65" s="2" t="s">
        <v>27</v>
      </c>
      <c r="D65" s="2" t="s">
        <v>44</v>
      </c>
      <c r="E65" s="2">
        <v>51000</v>
      </c>
      <c r="F65" s="2" t="s">
        <v>21</v>
      </c>
      <c r="G65" s="3">
        <v>44321</v>
      </c>
      <c r="H65" s="2">
        <v>3</v>
      </c>
      <c r="I65" s="2" t="s">
        <v>18</v>
      </c>
    </row>
    <row r="66" spans="1:9" x14ac:dyDescent="0.3">
      <c r="A66" s="2">
        <v>65</v>
      </c>
      <c r="B66" s="2" t="s">
        <v>104</v>
      </c>
      <c r="C66" s="2" t="s">
        <v>10</v>
      </c>
      <c r="D66" s="2" t="s">
        <v>105</v>
      </c>
      <c r="E66" s="2">
        <v>60000</v>
      </c>
      <c r="F66" s="2" t="s">
        <v>33</v>
      </c>
      <c r="G66" s="3">
        <v>43622</v>
      </c>
      <c r="H66" s="2">
        <v>6</v>
      </c>
      <c r="I66" s="2" t="s">
        <v>13</v>
      </c>
    </row>
    <row r="67" spans="1:9" x14ac:dyDescent="0.3">
      <c r="A67" s="2">
        <v>66</v>
      </c>
      <c r="B67" s="2" t="s">
        <v>106</v>
      </c>
      <c r="C67" s="2" t="s">
        <v>23</v>
      </c>
      <c r="D67" s="2" t="s">
        <v>37</v>
      </c>
      <c r="E67" s="2">
        <v>83000</v>
      </c>
      <c r="F67" s="2" t="s">
        <v>38</v>
      </c>
      <c r="G67" s="3">
        <v>43288</v>
      </c>
      <c r="H67" s="2">
        <v>7</v>
      </c>
      <c r="I67" s="2" t="s">
        <v>18</v>
      </c>
    </row>
    <row r="68" spans="1:9" x14ac:dyDescent="0.3">
      <c r="A68" s="2">
        <v>67</v>
      </c>
      <c r="B68" s="2" t="s">
        <v>107</v>
      </c>
      <c r="C68" s="2" t="s">
        <v>27</v>
      </c>
      <c r="D68" s="2" t="s">
        <v>37</v>
      </c>
      <c r="E68" s="2">
        <v>76000</v>
      </c>
      <c r="F68" s="2" t="s">
        <v>12</v>
      </c>
      <c r="G68" s="3">
        <v>43685</v>
      </c>
      <c r="H68" s="2">
        <v>6</v>
      </c>
      <c r="I68" s="2" t="s">
        <v>13</v>
      </c>
    </row>
    <row r="69" spans="1:9" x14ac:dyDescent="0.3">
      <c r="A69" s="2">
        <v>68</v>
      </c>
      <c r="B69" s="2" t="s">
        <v>108</v>
      </c>
      <c r="C69" s="2" t="s">
        <v>15</v>
      </c>
      <c r="D69" s="2" t="s">
        <v>51</v>
      </c>
      <c r="E69" s="2">
        <v>40000</v>
      </c>
      <c r="F69" s="2" t="s">
        <v>17</v>
      </c>
      <c r="G69" s="3">
        <v>44813</v>
      </c>
      <c r="H69" s="2">
        <v>2</v>
      </c>
      <c r="I69" s="2" t="s">
        <v>18</v>
      </c>
    </row>
    <row r="70" spans="1:9" x14ac:dyDescent="0.3">
      <c r="A70" s="2">
        <v>69</v>
      </c>
      <c r="B70" s="2" t="s">
        <v>109</v>
      </c>
      <c r="C70" s="2" t="s">
        <v>10</v>
      </c>
      <c r="D70" s="2" t="s">
        <v>110</v>
      </c>
      <c r="E70" s="2">
        <v>82000</v>
      </c>
      <c r="F70" s="2" t="s">
        <v>25</v>
      </c>
      <c r="G70" s="3">
        <v>43383</v>
      </c>
      <c r="H70" s="2">
        <v>7</v>
      </c>
      <c r="I70" s="2" t="s">
        <v>13</v>
      </c>
    </row>
    <row r="71" spans="1:9" x14ac:dyDescent="0.3">
      <c r="A71" s="2">
        <v>70</v>
      </c>
      <c r="B71" s="2" t="s">
        <v>111</v>
      </c>
      <c r="C71" s="2" t="s">
        <v>23</v>
      </c>
      <c r="D71" s="2" t="s">
        <v>24</v>
      </c>
      <c r="E71" s="2">
        <v>48000</v>
      </c>
      <c r="F71" s="2" t="s">
        <v>21</v>
      </c>
      <c r="G71" s="3">
        <v>44511</v>
      </c>
      <c r="H71" s="2">
        <v>3</v>
      </c>
      <c r="I71" s="2" t="s">
        <v>18</v>
      </c>
    </row>
    <row r="72" spans="1:9" x14ac:dyDescent="0.3">
      <c r="A72" s="2">
        <v>71</v>
      </c>
      <c r="B72" s="2" t="s">
        <v>112</v>
      </c>
      <c r="C72" s="2" t="s">
        <v>27</v>
      </c>
      <c r="D72" s="2" t="s">
        <v>44</v>
      </c>
      <c r="E72" s="2">
        <v>50000</v>
      </c>
      <c r="F72" s="2" t="s">
        <v>33</v>
      </c>
      <c r="G72" s="3">
        <v>43831</v>
      </c>
      <c r="H72" s="2">
        <v>4</v>
      </c>
      <c r="I72" s="2" t="s">
        <v>13</v>
      </c>
    </row>
    <row r="73" spans="1:9" x14ac:dyDescent="0.3">
      <c r="A73" s="2">
        <v>72</v>
      </c>
      <c r="B73" s="2" t="s">
        <v>113</v>
      </c>
      <c r="C73" s="2" t="s">
        <v>15</v>
      </c>
      <c r="D73" s="2" t="s">
        <v>44</v>
      </c>
      <c r="E73" s="2">
        <v>42000</v>
      </c>
      <c r="F73" s="2" t="s">
        <v>38</v>
      </c>
      <c r="G73" s="3">
        <v>44229</v>
      </c>
      <c r="H73" s="2">
        <v>3</v>
      </c>
      <c r="I73" s="2" t="s">
        <v>18</v>
      </c>
    </row>
    <row r="74" spans="1:9" x14ac:dyDescent="0.3">
      <c r="A74" s="2">
        <v>73</v>
      </c>
      <c r="B74" s="2" t="s">
        <v>114</v>
      </c>
      <c r="C74" s="2" t="s">
        <v>10</v>
      </c>
      <c r="D74" s="2" t="s">
        <v>115</v>
      </c>
      <c r="E74" s="2">
        <v>55000</v>
      </c>
      <c r="F74" s="2" t="s">
        <v>12</v>
      </c>
      <c r="G74" s="3">
        <v>43893</v>
      </c>
      <c r="H74" s="2">
        <v>5</v>
      </c>
      <c r="I74" s="2" t="s">
        <v>13</v>
      </c>
    </row>
    <row r="75" spans="1:9" x14ac:dyDescent="0.3">
      <c r="A75" s="2">
        <v>74</v>
      </c>
      <c r="B75" s="2" t="s">
        <v>116</v>
      </c>
      <c r="C75" s="2" t="s">
        <v>23</v>
      </c>
      <c r="D75" s="2" t="s">
        <v>35</v>
      </c>
      <c r="E75" s="2">
        <v>56000</v>
      </c>
      <c r="F75" s="2" t="s">
        <v>25</v>
      </c>
      <c r="G75" s="3">
        <v>43925</v>
      </c>
      <c r="H75" s="2">
        <v>4</v>
      </c>
      <c r="I75" s="2" t="s">
        <v>18</v>
      </c>
    </row>
    <row r="76" spans="1:9" x14ac:dyDescent="0.3">
      <c r="A76" s="2">
        <v>75</v>
      </c>
      <c r="B76" s="2" t="s">
        <v>117</v>
      </c>
      <c r="C76" s="2" t="s">
        <v>27</v>
      </c>
      <c r="D76" s="2" t="s">
        <v>37</v>
      </c>
      <c r="E76" s="2">
        <v>78000</v>
      </c>
      <c r="F76" s="2" t="s">
        <v>17</v>
      </c>
      <c r="G76" s="3">
        <v>43225</v>
      </c>
      <c r="H76" s="2">
        <v>7</v>
      </c>
      <c r="I76" s="2" t="s">
        <v>13</v>
      </c>
    </row>
    <row r="77" spans="1:9" x14ac:dyDescent="0.3">
      <c r="A77" s="2">
        <v>76</v>
      </c>
      <c r="B77" s="2" t="s">
        <v>118</v>
      </c>
      <c r="C77" s="2" t="s">
        <v>15</v>
      </c>
      <c r="D77" s="2" t="s">
        <v>37</v>
      </c>
      <c r="E77" s="2">
        <v>73000</v>
      </c>
      <c r="F77" s="2" t="s">
        <v>21</v>
      </c>
      <c r="G77" s="3">
        <v>43257</v>
      </c>
      <c r="H77" s="2">
        <v>7</v>
      </c>
      <c r="I77" s="2" t="s">
        <v>18</v>
      </c>
    </row>
    <row r="78" spans="1:9" x14ac:dyDescent="0.3">
      <c r="A78" s="2">
        <v>77</v>
      </c>
      <c r="B78" s="2" t="s">
        <v>119</v>
      </c>
      <c r="C78" s="2" t="s">
        <v>10</v>
      </c>
      <c r="D78" s="2" t="s">
        <v>11</v>
      </c>
      <c r="E78" s="2">
        <v>61000</v>
      </c>
      <c r="F78" s="2" t="s">
        <v>33</v>
      </c>
      <c r="G78" s="3">
        <v>43653</v>
      </c>
      <c r="H78" s="2">
        <v>6</v>
      </c>
      <c r="I78" s="2" t="s">
        <v>13</v>
      </c>
    </row>
    <row r="79" spans="1:9" x14ac:dyDescent="0.3">
      <c r="A79" s="2">
        <v>78</v>
      </c>
      <c r="B79" s="2" t="s">
        <v>120</v>
      </c>
      <c r="C79" s="2" t="s">
        <v>23</v>
      </c>
      <c r="D79" s="2" t="s">
        <v>24</v>
      </c>
      <c r="E79" s="2">
        <v>49000</v>
      </c>
      <c r="F79" s="2" t="s">
        <v>38</v>
      </c>
      <c r="G79" s="3">
        <v>44416</v>
      </c>
      <c r="H79" s="2">
        <v>3</v>
      </c>
      <c r="I79" s="2" t="s">
        <v>18</v>
      </c>
    </row>
    <row r="80" spans="1:9" x14ac:dyDescent="0.3">
      <c r="A80" s="2">
        <v>79</v>
      </c>
      <c r="B80" s="2" t="s">
        <v>121</v>
      </c>
      <c r="C80" s="2" t="s">
        <v>27</v>
      </c>
      <c r="D80" s="2" t="s">
        <v>44</v>
      </c>
      <c r="E80" s="2">
        <v>52000</v>
      </c>
      <c r="F80" s="2" t="s">
        <v>12</v>
      </c>
      <c r="G80" s="3">
        <v>44083</v>
      </c>
      <c r="H80" s="2">
        <v>4</v>
      </c>
      <c r="I80" s="2" t="s">
        <v>13</v>
      </c>
    </row>
    <row r="81" spans="1:9" x14ac:dyDescent="0.3">
      <c r="A81" s="2">
        <v>80</v>
      </c>
      <c r="B81" s="2" t="s">
        <v>122</v>
      </c>
      <c r="C81" s="2" t="s">
        <v>15</v>
      </c>
      <c r="D81" s="2" t="s">
        <v>16</v>
      </c>
      <c r="E81" s="2">
        <v>43000</v>
      </c>
      <c r="F81" s="2" t="s">
        <v>25</v>
      </c>
      <c r="G81" s="3">
        <v>44479</v>
      </c>
      <c r="H81" s="2">
        <v>3</v>
      </c>
      <c r="I81" s="2" t="s">
        <v>18</v>
      </c>
    </row>
    <row r="82" spans="1:9" x14ac:dyDescent="0.3">
      <c r="A82" s="2">
        <v>81</v>
      </c>
      <c r="B82" s="2" t="s">
        <v>123</v>
      </c>
      <c r="C82" s="2" t="s">
        <v>10</v>
      </c>
      <c r="D82" s="2" t="s">
        <v>69</v>
      </c>
      <c r="E82" s="2">
        <v>67000</v>
      </c>
      <c r="F82" s="2" t="s">
        <v>17</v>
      </c>
      <c r="G82" s="3">
        <v>43780</v>
      </c>
      <c r="H82" s="2">
        <v>6</v>
      </c>
      <c r="I82" s="2" t="s">
        <v>18</v>
      </c>
    </row>
    <row r="83" spans="1:9" x14ac:dyDescent="0.3">
      <c r="A83" s="2">
        <v>82</v>
      </c>
      <c r="B83" s="2" t="s">
        <v>124</v>
      </c>
      <c r="C83" s="2" t="s">
        <v>23</v>
      </c>
      <c r="D83" s="2" t="s">
        <v>37</v>
      </c>
      <c r="E83" s="2">
        <v>86000</v>
      </c>
      <c r="F83" s="2" t="s">
        <v>21</v>
      </c>
      <c r="G83" s="3">
        <v>43081</v>
      </c>
      <c r="H83" s="2">
        <v>8</v>
      </c>
      <c r="I83" s="2" t="s">
        <v>13</v>
      </c>
    </row>
    <row r="84" spans="1:9" x14ac:dyDescent="0.3">
      <c r="A84" s="2">
        <v>83</v>
      </c>
      <c r="B84" s="2" t="s">
        <v>125</v>
      </c>
      <c r="C84" s="2" t="s">
        <v>27</v>
      </c>
      <c r="D84" s="2" t="s">
        <v>44</v>
      </c>
      <c r="E84" s="2">
        <v>53000</v>
      </c>
      <c r="F84" s="2" t="s">
        <v>33</v>
      </c>
      <c r="G84" s="3">
        <v>43845</v>
      </c>
      <c r="H84" s="2">
        <v>4</v>
      </c>
      <c r="I84" s="2" t="s">
        <v>13</v>
      </c>
    </row>
    <row r="85" spans="1:9" x14ac:dyDescent="0.3">
      <c r="A85" s="2">
        <v>84</v>
      </c>
      <c r="B85" s="2" t="s">
        <v>126</v>
      </c>
      <c r="C85" s="2" t="s">
        <v>15</v>
      </c>
      <c r="D85" s="2" t="s">
        <v>51</v>
      </c>
      <c r="E85" s="2">
        <v>41000</v>
      </c>
      <c r="F85" s="2" t="s">
        <v>38</v>
      </c>
      <c r="G85" s="3">
        <v>44612</v>
      </c>
      <c r="H85" s="2">
        <v>2</v>
      </c>
      <c r="I85" s="2" t="s">
        <v>18</v>
      </c>
    </row>
    <row r="86" spans="1:9" x14ac:dyDescent="0.3">
      <c r="A86" s="2">
        <v>85</v>
      </c>
      <c r="B86" s="2" t="s">
        <v>127</v>
      </c>
      <c r="C86" s="2" t="s">
        <v>10</v>
      </c>
      <c r="D86" s="2" t="s">
        <v>61</v>
      </c>
      <c r="E86" s="2">
        <v>79000</v>
      </c>
      <c r="F86" s="2" t="s">
        <v>12</v>
      </c>
      <c r="G86" s="3">
        <v>43184</v>
      </c>
      <c r="H86" s="2">
        <v>7</v>
      </c>
      <c r="I86" s="2" t="s">
        <v>13</v>
      </c>
    </row>
    <row r="87" spans="1:9" x14ac:dyDescent="0.3">
      <c r="A87" s="2">
        <v>86</v>
      </c>
      <c r="B87" s="2" t="s">
        <v>128</v>
      </c>
      <c r="C87" s="2" t="s">
        <v>23</v>
      </c>
      <c r="D87" s="2" t="s">
        <v>35</v>
      </c>
      <c r="E87" s="2">
        <v>55000</v>
      </c>
      <c r="F87" s="2" t="s">
        <v>25</v>
      </c>
      <c r="G87" s="3">
        <v>43951</v>
      </c>
      <c r="H87" s="2">
        <v>5</v>
      </c>
      <c r="I87" s="2" t="s">
        <v>18</v>
      </c>
    </row>
    <row r="88" spans="1:9" x14ac:dyDescent="0.3">
      <c r="A88" s="2">
        <v>87</v>
      </c>
      <c r="B88" s="2" t="s">
        <v>129</v>
      </c>
      <c r="C88" s="2" t="s">
        <v>27</v>
      </c>
      <c r="D88" s="2" t="s">
        <v>37</v>
      </c>
      <c r="E88" s="2">
        <v>80000</v>
      </c>
      <c r="F88" s="2" t="s">
        <v>17</v>
      </c>
      <c r="G88" s="3">
        <v>43225</v>
      </c>
      <c r="H88" s="2">
        <v>7</v>
      </c>
      <c r="I88" s="2" t="s">
        <v>13</v>
      </c>
    </row>
    <row r="89" spans="1:9" x14ac:dyDescent="0.3">
      <c r="A89" s="2">
        <v>88</v>
      </c>
      <c r="B89" s="2" t="s">
        <v>130</v>
      </c>
      <c r="C89" s="2" t="s">
        <v>15</v>
      </c>
      <c r="D89" s="2" t="s">
        <v>44</v>
      </c>
      <c r="E89" s="2">
        <v>42000</v>
      </c>
      <c r="F89" s="2" t="s">
        <v>21</v>
      </c>
      <c r="G89" s="3">
        <v>44353</v>
      </c>
      <c r="H89" s="2">
        <v>3</v>
      </c>
      <c r="I89" s="2" t="s">
        <v>18</v>
      </c>
    </row>
    <row r="90" spans="1:9" x14ac:dyDescent="0.3">
      <c r="A90" s="2">
        <v>89</v>
      </c>
      <c r="B90" s="2" t="s">
        <v>131</v>
      </c>
      <c r="C90" s="2" t="s">
        <v>10</v>
      </c>
      <c r="D90" s="2" t="s">
        <v>49</v>
      </c>
      <c r="E90" s="2">
        <v>50000</v>
      </c>
      <c r="F90" s="2" t="s">
        <v>33</v>
      </c>
      <c r="G90" s="3">
        <v>44384</v>
      </c>
      <c r="H90" s="2">
        <v>3</v>
      </c>
      <c r="I90" s="2" t="s">
        <v>13</v>
      </c>
    </row>
    <row r="91" spans="1:9" x14ac:dyDescent="0.3">
      <c r="A91" s="2">
        <v>90</v>
      </c>
      <c r="B91" s="2" t="s">
        <v>132</v>
      </c>
      <c r="C91" s="2" t="s">
        <v>23</v>
      </c>
      <c r="D91" s="2" t="s">
        <v>24</v>
      </c>
      <c r="E91" s="2">
        <v>47000</v>
      </c>
      <c r="F91" s="2" t="s">
        <v>38</v>
      </c>
      <c r="G91" s="3">
        <v>44416</v>
      </c>
      <c r="H91" s="2">
        <v>3</v>
      </c>
      <c r="I91" s="2" t="s">
        <v>18</v>
      </c>
    </row>
    <row r="92" spans="1:9" x14ac:dyDescent="0.3">
      <c r="A92" s="2">
        <v>91</v>
      </c>
      <c r="B92" s="2" t="s">
        <v>133</v>
      </c>
      <c r="C92" s="2" t="s">
        <v>27</v>
      </c>
      <c r="D92" s="2" t="s">
        <v>44</v>
      </c>
      <c r="E92" s="2">
        <v>51000</v>
      </c>
      <c r="F92" s="2" t="s">
        <v>12</v>
      </c>
      <c r="G92" s="3">
        <v>44083</v>
      </c>
      <c r="H92" s="2">
        <v>4</v>
      </c>
      <c r="I92" s="2" t="s">
        <v>13</v>
      </c>
    </row>
    <row r="93" spans="1:9" x14ac:dyDescent="0.3">
      <c r="A93" s="2">
        <v>92</v>
      </c>
      <c r="B93" s="2" t="s">
        <v>134</v>
      </c>
      <c r="C93" s="2" t="s">
        <v>15</v>
      </c>
      <c r="D93" s="2" t="s">
        <v>37</v>
      </c>
      <c r="E93" s="2">
        <v>74000</v>
      </c>
      <c r="F93" s="2" t="s">
        <v>25</v>
      </c>
      <c r="G93" s="3">
        <v>43383</v>
      </c>
      <c r="H93" s="2">
        <v>7</v>
      </c>
      <c r="I93" s="2" t="s">
        <v>18</v>
      </c>
    </row>
    <row r="94" spans="1:9" x14ac:dyDescent="0.3">
      <c r="A94" s="2">
        <v>93</v>
      </c>
      <c r="B94" s="2" t="s">
        <v>135</v>
      </c>
      <c r="C94" s="2" t="s">
        <v>10</v>
      </c>
      <c r="D94" s="2" t="s">
        <v>11</v>
      </c>
      <c r="E94" s="2">
        <v>62000</v>
      </c>
      <c r="F94" s="2" t="s">
        <v>17</v>
      </c>
      <c r="G94" s="3">
        <v>43780</v>
      </c>
      <c r="H94" s="2">
        <v>6</v>
      </c>
      <c r="I94" s="2" t="s">
        <v>13</v>
      </c>
    </row>
    <row r="95" spans="1:9" x14ac:dyDescent="0.3">
      <c r="A95" s="2">
        <v>94</v>
      </c>
      <c r="B95" s="2" t="s">
        <v>136</v>
      </c>
      <c r="C95" s="2" t="s">
        <v>23</v>
      </c>
      <c r="D95" s="2" t="s">
        <v>35</v>
      </c>
      <c r="E95" s="2">
        <v>56000</v>
      </c>
      <c r="F95" s="2" t="s">
        <v>21</v>
      </c>
      <c r="G95" s="3">
        <v>44177</v>
      </c>
      <c r="H95" s="2">
        <v>5</v>
      </c>
      <c r="I95" s="2" t="s">
        <v>18</v>
      </c>
    </row>
    <row r="96" spans="1:9" x14ac:dyDescent="0.3">
      <c r="A96" s="2">
        <v>95</v>
      </c>
      <c r="B96" s="2" t="s">
        <v>137</v>
      </c>
      <c r="C96" s="2" t="s">
        <v>27</v>
      </c>
      <c r="D96" s="2" t="s">
        <v>37</v>
      </c>
      <c r="E96" s="2">
        <v>81000</v>
      </c>
      <c r="F96" s="2" t="s">
        <v>33</v>
      </c>
      <c r="G96" s="3">
        <v>42736</v>
      </c>
      <c r="H96" s="2">
        <v>8</v>
      </c>
      <c r="I96" s="2" t="s">
        <v>13</v>
      </c>
    </row>
    <row r="97" spans="1:9" x14ac:dyDescent="0.3">
      <c r="A97" s="2">
        <v>96</v>
      </c>
      <c r="B97" s="2" t="s">
        <v>138</v>
      </c>
      <c r="C97" s="2" t="s">
        <v>15</v>
      </c>
      <c r="D97" s="2" t="s">
        <v>16</v>
      </c>
      <c r="E97" s="2">
        <v>43000</v>
      </c>
      <c r="F97" s="2" t="s">
        <v>38</v>
      </c>
      <c r="G97" s="3">
        <v>44229</v>
      </c>
      <c r="H97" s="2">
        <v>3</v>
      </c>
      <c r="I97" s="2" t="s">
        <v>18</v>
      </c>
    </row>
    <row r="98" spans="1:9" x14ac:dyDescent="0.3">
      <c r="A98" s="2">
        <v>97</v>
      </c>
      <c r="B98" s="2" t="s">
        <v>83</v>
      </c>
      <c r="C98" s="2" t="s">
        <v>10</v>
      </c>
      <c r="D98" s="2" t="s">
        <v>94</v>
      </c>
      <c r="E98" s="2">
        <v>92000</v>
      </c>
      <c r="F98" s="2" t="s">
        <v>12</v>
      </c>
      <c r="G98" s="3">
        <v>43162</v>
      </c>
      <c r="H98" s="2">
        <v>7</v>
      </c>
      <c r="I98" s="2" t="s">
        <v>13</v>
      </c>
    </row>
    <row r="99" spans="1:9" x14ac:dyDescent="0.3">
      <c r="A99" s="2">
        <v>98</v>
      </c>
      <c r="B99" s="2" t="s">
        <v>139</v>
      </c>
      <c r="C99" s="2" t="s">
        <v>23</v>
      </c>
      <c r="D99" s="2" t="s">
        <v>37</v>
      </c>
      <c r="E99" s="2">
        <v>87000</v>
      </c>
      <c r="F99" s="2" t="s">
        <v>25</v>
      </c>
      <c r="G99" s="3">
        <v>42829</v>
      </c>
      <c r="H99" s="2">
        <v>8</v>
      </c>
      <c r="I99" s="2" t="s">
        <v>18</v>
      </c>
    </row>
    <row r="100" spans="1:9" x14ac:dyDescent="0.3">
      <c r="A100" s="2">
        <v>99</v>
      </c>
      <c r="B100" s="2" t="s">
        <v>140</v>
      </c>
      <c r="C100" s="2" t="s">
        <v>27</v>
      </c>
      <c r="D100" s="2" t="s">
        <v>44</v>
      </c>
      <c r="E100" s="2">
        <v>54000</v>
      </c>
      <c r="F100" s="2" t="s">
        <v>17</v>
      </c>
      <c r="G100" s="3">
        <v>43956</v>
      </c>
      <c r="H100" s="2">
        <v>4</v>
      </c>
      <c r="I100" s="2" t="s">
        <v>13</v>
      </c>
    </row>
    <row r="101" spans="1:9" x14ac:dyDescent="0.3">
      <c r="A101" s="2">
        <v>100</v>
      </c>
      <c r="B101" s="2" t="s">
        <v>86</v>
      </c>
      <c r="C101" s="2" t="s">
        <v>15</v>
      </c>
      <c r="D101" s="2" t="s">
        <v>51</v>
      </c>
      <c r="E101" s="2">
        <v>40000</v>
      </c>
      <c r="F101" s="2" t="s">
        <v>21</v>
      </c>
      <c r="G101" s="3">
        <v>44718</v>
      </c>
      <c r="H101" s="2">
        <v>2</v>
      </c>
      <c r="I101" s="2" t="s">
        <v>18</v>
      </c>
    </row>
  </sheetData>
  <autoFilter ref="A1:I1" xr:uid="{3019E231-AFA9-4513-BBD9-227E8A9308B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2292-4C6F-4837-A817-5C6546A04ABB}">
  <sheetPr>
    <tabColor theme="8" tint="0.59999389629810485"/>
  </sheetPr>
  <dimension ref="A1:J23"/>
  <sheetViews>
    <sheetView workbookViewId="0">
      <selection activeCell="N19" sqref="N19"/>
    </sheetView>
  </sheetViews>
  <sheetFormatPr defaultRowHeight="14.4" x14ac:dyDescent="0.3"/>
  <cols>
    <col min="1" max="1" width="1.77734375" customWidth="1"/>
    <col min="2" max="2" width="4.44140625" customWidth="1"/>
    <col min="3" max="3" width="20.77734375" customWidth="1"/>
    <col min="4" max="4" width="15.109375" customWidth="1"/>
    <col min="5" max="5" width="25.44140625" customWidth="1"/>
    <col min="6" max="6" width="12.44140625" bestFit="1" customWidth="1"/>
    <col min="7" max="7" width="17.21875" customWidth="1"/>
    <col min="8" max="8" width="17.109375" customWidth="1"/>
    <col min="9" max="9" width="20.6640625" customWidth="1"/>
    <col min="10" max="10" width="14.33203125" bestFit="1" customWidth="1"/>
    <col min="12" max="12" width="18.44140625" customWidth="1"/>
  </cols>
  <sheetData>
    <row r="1" spans="1:10" ht="14.4" customHeight="1" x14ac:dyDescent="0.3">
      <c r="A1" s="16" t="s">
        <v>173</v>
      </c>
      <c r="B1" s="16"/>
      <c r="C1" s="16"/>
      <c r="D1" s="16"/>
      <c r="E1" s="16"/>
      <c r="F1" s="16"/>
      <c r="G1" s="16"/>
      <c r="H1" s="16"/>
      <c r="I1" s="16"/>
      <c r="J1" s="16"/>
    </row>
    <row r="2" spans="1:10" ht="14.4" customHeight="1" x14ac:dyDescent="0.3">
      <c r="A2" s="16"/>
      <c r="B2" s="16"/>
      <c r="C2" s="16"/>
      <c r="D2" s="16"/>
      <c r="E2" s="16"/>
      <c r="F2" s="16"/>
      <c r="G2" s="16"/>
      <c r="H2" s="16"/>
      <c r="I2" s="16"/>
      <c r="J2" s="16"/>
    </row>
    <row r="4" spans="1:10" ht="21" customHeight="1" x14ac:dyDescent="0.3">
      <c r="C4" s="20" t="s">
        <v>141</v>
      </c>
      <c r="E4" s="20" t="s">
        <v>142</v>
      </c>
      <c r="G4" s="20" t="s">
        <v>143</v>
      </c>
      <c r="I4" s="20" t="s">
        <v>174</v>
      </c>
    </row>
    <row r="5" spans="1:10" ht="21" customHeight="1" x14ac:dyDescent="0.3">
      <c r="C5" s="4">
        <f>COUNTA('HR DATA'!A2:A101)</f>
        <v>100</v>
      </c>
      <c r="E5" s="8">
        <f>AVERAGE('HR DATA'!E2:E101)</f>
        <v>59210</v>
      </c>
      <c r="G5" s="8">
        <f>MAX('HR DATA'!E2:E101)</f>
        <v>95000</v>
      </c>
      <c r="I5" s="8">
        <f>MIN('HR DATA'!E2:E101)</f>
        <v>39000</v>
      </c>
    </row>
    <row r="7" spans="1:10" ht="26.4" customHeight="1" x14ac:dyDescent="0.3">
      <c r="C7" s="15" t="s">
        <v>148</v>
      </c>
      <c r="D7" s="15"/>
      <c r="F7" s="15" t="s">
        <v>149</v>
      </c>
      <c r="G7" s="15"/>
      <c r="I7" s="15" t="s">
        <v>150</v>
      </c>
      <c r="J7" s="15"/>
    </row>
    <row r="8" spans="1:10" ht="5.4" customHeight="1" x14ac:dyDescent="0.3"/>
    <row r="9" spans="1:10" ht="19.8" customHeight="1" x14ac:dyDescent="0.3">
      <c r="C9" s="12" t="s">
        <v>144</v>
      </c>
      <c r="D9" s="13" t="s">
        <v>147</v>
      </c>
      <c r="F9" s="12" t="s">
        <v>144</v>
      </c>
      <c r="G9" s="13" t="s">
        <v>146</v>
      </c>
      <c r="I9" s="11" t="s">
        <v>144</v>
      </c>
      <c r="J9" s="10" t="s">
        <v>147</v>
      </c>
    </row>
    <row r="10" spans="1:10" ht="19.8" customHeight="1" x14ac:dyDescent="0.3">
      <c r="C10" s="6" t="s">
        <v>23</v>
      </c>
      <c r="D10">
        <v>24</v>
      </c>
      <c r="F10" s="6" t="s">
        <v>23</v>
      </c>
      <c r="G10" s="9">
        <v>1445000</v>
      </c>
      <c r="I10" s="6" t="s">
        <v>18</v>
      </c>
      <c r="J10">
        <v>47</v>
      </c>
    </row>
    <row r="11" spans="1:10" x14ac:dyDescent="0.3">
      <c r="C11" s="6" t="s">
        <v>15</v>
      </c>
      <c r="D11">
        <v>24</v>
      </c>
      <c r="F11" s="6" t="s">
        <v>15</v>
      </c>
      <c r="G11" s="9">
        <v>1170000</v>
      </c>
      <c r="I11" s="6" t="s">
        <v>13</v>
      </c>
      <c r="J11">
        <v>53</v>
      </c>
    </row>
    <row r="12" spans="1:10" x14ac:dyDescent="0.3">
      <c r="C12" s="6" t="s">
        <v>10</v>
      </c>
      <c r="D12">
        <v>29</v>
      </c>
      <c r="F12" s="6" t="s">
        <v>10</v>
      </c>
      <c r="G12" s="9">
        <v>1909000</v>
      </c>
      <c r="I12" s="6" t="s">
        <v>145</v>
      </c>
      <c r="J12">
        <v>100</v>
      </c>
    </row>
    <row r="13" spans="1:10" x14ac:dyDescent="0.3">
      <c r="C13" s="6" t="s">
        <v>27</v>
      </c>
      <c r="D13">
        <v>23</v>
      </c>
      <c r="F13" s="6" t="s">
        <v>27</v>
      </c>
      <c r="G13" s="9">
        <v>1397000</v>
      </c>
    </row>
    <row r="14" spans="1:10" x14ac:dyDescent="0.3">
      <c r="C14" s="6" t="s">
        <v>145</v>
      </c>
      <c r="D14">
        <v>100</v>
      </c>
      <c r="F14" s="6" t="s">
        <v>145</v>
      </c>
      <c r="G14" s="9">
        <v>5921000</v>
      </c>
    </row>
    <row r="23" ht="17.399999999999999" customHeight="1" x14ac:dyDescent="0.3"/>
  </sheetData>
  <mergeCells count="4">
    <mergeCell ref="C7:D7"/>
    <mergeCell ref="F7:G7"/>
    <mergeCell ref="I7:J7"/>
    <mergeCell ref="A1:J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4CD1-7C74-4058-8666-D575E9D7308C}">
  <sheetPr>
    <tabColor rgb="FFFFFF00"/>
  </sheetPr>
  <dimension ref="A1:H105"/>
  <sheetViews>
    <sheetView tabSelected="1" workbookViewId="0">
      <selection activeCell="B14" sqref="B14"/>
    </sheetView>
  </sheetViews>
  <sheetFormatPr defaultRowHeight="14.4" x14ac:dyDescent="0.3"/>
  <cols>
    <col min="1" max="1" width="4.109375" customWidth="1"/>
    <col min="2" max="2" width="64.44140625" customWidth="1"/>
    <col min="3" max="3" width="8.88671875" customWidth="1"/>
    <col min="8" max="8" width="10.33203125" bestFit="1" customWidth="1"/>
  </cols>
  <sheetData>
    <row r="1" spans="1:8" ht="27" customHeight="1" x14ac:dyDescent="0.3">
      <c r="A1" s="27" t="s">
        <v>167</v>
      </c>
      <c r="B1" s="28"/>
    </row>
    <row r="2" spans="1:8" ht="15.6" x14ac:dyDescent="0.3">
      <c r="A2" s="4" t="s">
        <v>168</v>
      </c>
      <c r="B2" s="26" t="s">
        <v>163</v>
      </c>
    </row>
    <row r="3" spans="1:8" x14ac:dyDescent="0.3">
      <c r="A3" s="17"/>
      <c r="B3" s="7" t="s">
        <v>151</v>
      </c>
      <c r="H3" s="1"/>
    </row>
    <row r="4" spans="1:8" x14ac:dyDescent="0.3">
      <c r="A4" s="19"/>
      <c r="B4" s="7"/>
      <c r="H4" s="1"/>
    </row>
    <row r="5" spans="1:8" ht="15.6" x14ac:dyDescent="0.3">
      <c r="A5" s="4" t="s">
        <v>169</v>
      </c>
      <c r="B5" s="26" t="s">
        <v>164</v>
      </c>
      <c r="H5" s="1"/>
    </row>
    <row r="6" spans="1:8" x14ac:dyDescent="0.3">
      <c r="A6" s="17"/>
      <c r="B6" s="7" t="s">
        <v>153</v>
      </c>
      <c r="H6" s="1"/>
    </row>
    <row r="7" spans="1:8" x14ac:dyDescent="0.3">
      <c r="A7" s="18"/>
      <c r="B7" s="7" t="s">
        <v>154</v>
      </c>
      <c r="H7" s="1"/>
    </row>
    <row r="8" spans="1:8" x14ac:dyDescent="0.3">
      <c r="A8" s="18"/>
      <c r="B8" s="7" t="s">
        <v>152</v>
      </c>
      <c r="H8" s="1"/>
    </row>
    <row r="9" spans="1:8" x14ac:dyDescent="0.3">
      <c r="A9" s="19"/>
      <c r="B9" s="7"/>
      <c r="H9" s="1"/>
    </row>
    <row r="10" spans="1:8" ht="15.6" x14ac:dyDescent="0.3">
      <c r="A10" s="4" t="s">
        <v>170</v>
      </c>
      <c r="B10" s="26" t="s">
        <v>165</v>
      </c>
      <c r="H10" s="1"/>
    </row>
    <row r="11" spans="1:8" x14ac:dyDescent="0.3">
      <c r="A11" s="17"/>
      <c r="B11" s="7" t="s">
        <v>155</v>
      </c>
      <c r="H11" s="1"/>
    </row>
    <row r="12" spans="1:8" x14ac:dyDescent="0.3">
      <c r="A12" s="18"/>
      <c r="B12" s="7" t="s">
        <v>156</v>
      </c>
      <c r="H12" s="1"/>
    </row>
    <row r="13" spans="1:8" x14ac:dyDescent="0.3">
      <c r="A13" s="18"/>
      <c r="B13" s="7" t="s">
        <v>157</v>
      </c>
      <c r="H13" s="1"/>
    </row>
    <row r="14" spans="1:8" x14ac:dyDescent="0.3">
      <c r="A14" s="19"/>
      <c r="B14" s="7"/>
      <c r="H14" s="1"/>
    </row>
    <row r="15" spans="1:8" ht="15.6" x14ac:dyDescent="0.3">
      <c r="A15" s="4" t="s">
        <v>171</v>
      </c>
      <c r="B15" s="26" t="s">
        <v>166</v>
      </c>
      <c r="H15" s="1"/>
    </row>
    <row r="16" spans="1:8" x14ac:dyDescent="0.3">
      <c r="A16" s="17"/>
      <c r="B16" s="7" t="s">
        <v>158</v>
      </c>
      <c r="H16" s="1"/>
    </row>
    <row r="17" spans="1:8" x14ac:dyDescent="0.3">
      <c r="A17" s="18"/>
      <c r="B17" s="7" t="s">
        <v>159</v>
      </c>
      <c r="H17" s="1"/>
    </row>
    <row r="18" spans="1:8" x14ac:dyDescent="0.3">
      <c r="A18" s="19"/>
      <c r="B18" s="7"/>
      <c r="H18" s="1"/>
    </row>
    <row r="19" spans="1:8" ht="15.6" x14ac:dyDescent="0.3">
      <c r="A19" s="25" t="s">
        <v>172</v>
      </c>
      <c r="B19" s="26" t="s">
        <v>177</v>
      </c>
      <c r="H19" s="1"/>
    </row>
    <row r="20" spans="1:8" x14ac:dyDescent="0.3">
      <c r="A20" s="14"/>
      <c r="B20" s="7" t="s">
        <v>178</v>
      </c>
      <c r="H20" s="1"/>
    </row>
    <row r="21" spans="1:8" x14ac:dyDescent="0.3">
      <c r="A21" s="25"/>
      <c r="B21" s="7"/>
      <c r="H21" s="1"/>
    </row>
    <row r="22" spans="1:8" ht="15.6" x14ac:dyDescent="0.3">
      <c r="A22" s="4" t="s">
        <v>176</v>
      </c>
      <c r="B22" s="26" t="s">
        <v>162</v>
      </c>
      <c r="H22" s="1"/>
    </row>
    <row r="23" spans="1:8" x14ac:dyDescent="0.3">
      <c r="A23" s="17"/>
      <c r="B23" t="s">
        <v>175</v>
      </c>
      <c r="H23" s="1"/>
    </row>
    <row r="24" spans="1:8" x14ac:dyDescent="0.3">
      <c r="A24" s="18"/>
      <c r="B24" s="7" t="s">
        <v>160</v>
      </c>
      <c r="H24" s="1"/>
    </row>
    <row r="25" spans="1:8" x14ac:dyDescent="0.3">
      <c r="A25" s="19"/>
      <c r="B25" s="7" t="s">
        <v>161</v>
      </c>
      <c r="H25" s="1"/>
    </row>
    <row r="26" spans="1:8" x14ac:dyDescent="0.3">
      <c r="H26" s="1"/>
    </row>
    <row r="27" spans="1:8" x14ac:dyDescent="0.3">
      <c r="H27" s="1"/>
    </row>
    <row r="28" spans="1:8" x14ac:dyDescent="0.3">
      <c r="H28" s="1"/>
    </row>
    <row r="29" spans="1:8" x14ac:dyDescent="0.3">
      <c r="H29" s="1"/>
    </row>
    <row r="30" spans="1:8" x14ac:dyDescent="0.3">
      <c r="H30" s="1"/>
    </row>
    <row r="31" spans="1:8" x14ac:dyDescent="0.3">
      <c r="H31" s="1"/>
    </row>
    <row r="32" spans="1:8" x14ac:dyDescent="0.3">
      <c r="H32" s="1"/>
    </row>
    <row r="33" spans="8:8" x14ac:dyDescent="0.3">
      <c r="H33" s="1"/>
    </row>
    <row r="34" spans="8:8" x14ac:dyDescent="0.3">
      <c r="H34" s="1"/>
    </row>
    <row r="35" spans="8:8" x14ac:dyDescent="0.3">
      <c r="H35" s="1"/>
    </row>
    <row r="36" spans="8:8" x14ac:dyDescent="0.3">
      <c r="H36" s="1"/>
    </row>
    <row r="37" spans="8:8" x14ac:dyDescent="0.3">
      <c r="H37" s="1"/>
    </row>
    <row r="38" spans="8:8" x14ac:dyDescent="0.3">
      <c r="H38" s="1"/>
    </row>
    <row r="39" spans="8:8" x14ac:dyDescent="0.3">
      <c r="H39" s="1"/>
    </row>
    <row r="40" spans="8:8" x14ac:dyDescent="0.3">
      <c r="H40" s="1"/>
    </row>
    <row r="41" spans="8:8" x14ac:dyDescent="0.3">
      <c r="H41" s="1"/>
    </row>
    <row r="42" spans="8:8" x14ac:dyDescent="0.3">
      <c r="H42" s="1"/>
    </row>
    <row r="43" spans="8:8" x14ac:dyDescent="0.3">
      <c r="H43" s="1"/>
    </row>
    <row r="44" spans="8:8" x14ac:dyDescent="0.3">
      <c r="H44" s="1"/>
    </row>
    <row r="45" spans="8:8" x14ac:dyDescent="0.3">
      <c r="H45" s="1"/>
    </row>
    <row r="46" spans="8:8" x14ac:dyDescent="0.3">
      <c r="H46" s="1"/>
    </row>
    <row r="47" spans="8:8" x14ac:dyDescent="0.3">
      <c r="H47" s="1"/>
    </row>
    <row r="48" spans="8:8" x14ac:dyDescent="0.3">
      <c r="H48" s="1"/>
    </row>
    <row r="49" spans="8:8" x14ac:dyDescent="0.3">
      <c r="H49" s="1"/>
    </row>
    <row r="50" spans="8:8" x14ac:dyDescent="0.3">
      <c r="H50" s="1"/>
    </row>
    <row r="51" spans="8:8" x14ac:dyDescent="0.3">
      <c r="H51" s="1"/>
    </row>
    <row r="52" spans="8:8" x14ac:dyDescent="0.3">
      <c r="H52" s="1"/>
    </row>
    <row r="53" spans="8:8" x14ac:dyDescent="0.3">
      <c r="H53" s="1"/>
    </row>
    <row r="54" spans="8:8" x14ac:dyDescent="0.3">
      <c r="H54" s="1"/>
    </row>
    <row r="55" spans="8:8" x14ac:dyDescent="0.3">
      <c r="H55" s="1"/>
    </row>
    <row r="56" spans="8:8" x14ac:dyDescent="0.3">
      <c r="H56" s="1"/>
    </row>
    <row r="57" spans="8:8" x14ac:dyDescent="0.3">
      <c r="H57" s="1"/>
    </row>
    <row r="58" spans="8:8" x14ac:dyDescent="0.3">
      <c r="H58" s="1"/>
    </row>
    <row r="59" spans="8:8" x14ac:dyDescent="0.3">
      <c r="H59" s="1"/>
    </row>
    <row r="60" spans="8:8" x14ac:dyDescent="0.3">
      <c r="H60" s="1"/>
    </row>
    <row r="61" spans="8:8" x14ac:dyDescent="0.3">
      <c r="H61" s="1"/>
    </row>
    <row r="62" spans="8:8" x14ac:dyDescent="0.3">
      <c r="H62" s="1"/>
    </row>
    <row r="63" spans="8:8" x14ac:dyDescent="0.3">
      <c r="H63" s="1"/>
    </row>
    <row r="64" spans="8:8" x14ac:dyDescent="0.3">
      <c r="H64" s="1"/>
    </row>
    <row r="65" spans="8:8" x14ac:dyDescent="0.3">
      <c r="H65" s="1"/>
    </row>
    <row r="66" spans="8:8" x14ac:dyDescent="0.3">
      <c r="H66" s="1"/>
    </row>
    <row r="67" spans="8:8" x14ac:dyDescent="0.3">
      <c r="H67" s="1"/>
    </row>
    <row r="68" spans="8:8" x14ac:dyDescent="0.3">
      <c r="H68" s="1"/>
    </row>
    <row r="69" spans="8:8" x14ac:dyDescent="0.3">
      <c r="H69" s="1"/>
    </row>
    <row r="70" spans="8:8" x14ac:dyDescent="0.3">
      <c r="H70" s="1"/>
    </row>
    <row r="71" spans="8:8" x14ac:dyDescent="0.3">
      <c r="H71" s="1"/>
    </row>
    <row r="72" spans="8:8" x14ac:dyDescent="0.3">
      <c r="H72" s="1"/>
    </row>
    <row r="73" spans="8:8" x14ac:dyDescent="0.3">
      <c r="H73" s="1"/>
    </row>
    <row r="74" spans="8:8" x14ac:dyDescent="0.3">
      <c r="H74" s="1"/>
    </row>
    <row r="75" spans="8:8" x14ac:dyDescent="0.3">
      <c r="H75" s="1"/>
    </row>
    <row r="76" spans="8:8" x14ac:dyDescent="0.3">
      <c r="H76" s="1"/>
    </row>
    <row r="77" spans="8:8" x14ac:dyDescent="0.3">
      <c r="H77" s="1"/>
    </row>
    <row r="78" spans="8:8" x14ac:dyDescent="0.3">
      <c r="H78" s="1"/>
    </row>
    <row r="79" spans="8:8" x14ac:dyDescent="0.3">
      <c r="H79" s="1"/>
    </row>
    <row r="80" spans="8:8" x14ac:dyDescent="0.3">
      <c r="H80" s="1"/>
    </row>
    <row r="81" spans="8:8" x14ac:dyDescent="0.3">
      <c r="H81" s="1"/>
    </row>
    <row r="82" spans="8:8" x14ac:dyDescent="0.3">
      <c r="H82" s="1"/>
    </row>
    <row r="83" spans="8:8" x14ac:dyDescent="0.3">
      <c r="H83" s="1"/>
    </row>
    <row r="84" spans="8:8" x14ac:dyDescent="0.3">
      <c r="H84" s="1"/>
    </row>
    <row r="85" spans="8:8" x14ac:dyDescent="0.3">
      <c r="H85" s="1"/>
    </row>
    <row r="86" spans="8:8" x14ac:dyDescent="0.3">
      <c r="H86" s="1"/>
    </row>
    <row r="87" spans="8:8" x14ac:dyDescent="0.3">
      <c r="H87" s="1"/>
    </row>
    <row r="88" spans="8:8" x14ac:dyDescent="0.3">
      <c r="H88" s="1"/>
    </row>
    <row r="89" spans="8:8" x14ac:dyDescent="0.3">
      <c r="H89" s="1"/>
    </row>
    <row r="90" spans="8:8" x14ac:dyDescent="0.3">
      <c r="H90" s="1"/>
    </row>
    <row r="91" spans="8:8" x14ac:dyDescent="0.3">
      <c r="H91" s="1"/>
    </row>
    <row r="92" spans="8:8" x14ac:dyDescent="0.3">
      <c r="H92" s="1"/>
    </row>
    <row r="93" spans="8:8" x14ac:dyDescent="0.3">
      <c r="H93" s="1"/>
    </row>
    <row r="94" spans="8:8" x14ac:dyDescent="0.3">
      <c r="H94" s="1"/>
    </row>
    <row r="95" spans="8:8" x14ac:dyDescent="0.3">
      <c r="H95" s="1"/>
    </row>
    <row r="96" spans="8:8" x14ac:dyDescent="0.3">
      <c r="H96" s="1"/>
    </row>
    <row r="97" spans="8:8" x14ac:dyDescent="0.3">
      <c r="H97" s="1"/>
    </row>
    <row r="98" spans="8:8" x14ac:dyDescent="0.3">
      <c r="H98" s="1"/>
    </row>
    <row r="99" spans="8:8" x14ac:dyDescent="0.3">
      <c r="H99" s="1"/>
    </row>
    <row r="100" spans="8:8" x14ac:dyDescent="0.3">
      <c r="H100" s="1"/>
    </row>
    <row r="101" spans="8:8" x14ac:dyDescent="0.3">
      <c r="H101" s="1"/>
    </row>
    <row r="102" spans="8:8" x14ac:dyDescent="0.3">
      <c r="H102" s="1"/>
    </row>
    <row r="103" spans="8:8" x14ac:dyDescent="0.3">
      <c r="H103" s="1"/>
    </row>
    <row r="104" spans="8:8" x14ac:dyDescent="0.3">
      <c r="H104" s="1"/>
    </row>
    <row r="105" spans="8:8" x14ac:dyDescent="0.3">
      <c r="H105" s="1"/>
    </row>
  </sheetData>
  <mergeCells count="6">
    <mergeCell ref="A16:A18"/>
    <mergeCell ref="A23:A25"/>
    <mergeCell ref="A1:B1"/>
    <mergeCell ref="A3:A4"/>
    <mergeCell ref="A6:A9"/>
    <mergeCell ref="A11: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Chavan</dc:creator>
  <cp:lastModifiedBy>Rahul Chavan</cp:lastModifiedBy>
  <dcterms:created xsi:type="dcterms:W3CDTF">2026-04-22T16:38:52Z</dcterms:created>
  <dcterms:modified xsi:type="dcterms:W3CDTF">2026-04-24T07:03:22Z</dcterms:modified>
</cp:coreProperties>
</file>